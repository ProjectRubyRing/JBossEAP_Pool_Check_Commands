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まず3分で理解" sheetId="2" state="visible" r:id="rId2"/>
    <sheet xmlns:r="http://schemas.openxmlformats.org/officeDocument/2006/relationships" name="02_歴史と背景" sheetId="3" state="visible" r:id="rId3"/>
    <sheet xmlns:r="http://schemas.openxmlformats.org/officeDocument/2006/relationships" name="03_必要になった経緯" sheetId="4" state="visible" r:id="rId4"/>
    <sheet xmlns:r="http://schemas.openxmlformats.org/officeDocument/2006/relationships" name="04_使い方（手順）" sheetId="5" state="visible" r:id="rId5"/>
    <sheet xmlns:r="http://schemas.openxmlformats.org/officeDocument/2006/relationships" name="05_コマンド集" sheetId="6" state="visible" r:id="rId6"/>
    <sheet xmlns:r="http://schemas.openxmlformats.org/officeDocument/2006/relationships" name="06_出力の見方" sheetId="7" state="visible" r:id="rId7"/>
    <sheet xmlns:r="http://schemas.openxmlformats.org/officeDocument/2006/relationships" name="07_解消予定時刻の計算" sheetId="8" state="visible" r:id="rId8"/>
    <sheet xmlns:r="http://schemas.openxmlformats.org/officeDocument/2006/relationships" name="08_検証結果" sheetId="9" state="visible" r:id="rId9"/>
    <sheet xmlns:r="http://schemas.openxmlformats.org/officeDocument/2006/relationships" name="09_注意点とトラブル" sheetId="10" state="visible" r:id="rId10"/>
    <sheet xmlns:r="http://schemas.openxmlformats.org/officeDocument/2006/relationships" name="10_用語集" sheetId="11" state="visible" r:id="rId11"/>
    <sheet xmlns:r="http://schemas.openxmlformats.org/officeDocument/2006/relationships" name="11_参考資料" sheetId="12" state="visible" r:id="rId12"/>
    <sheet xmlns:r="http://schemas.openxmlformats.org/officeDocument/2006/relationships" name="12_スクリプト全文" sheetId="13" state="visible" r:id="rId13"/>
  </sheets>
  <definedNames>
    <definedName name="_xlnm.Print_Titles" localSheetId="0">'00_表紙'!$1:$2</definedName>
    <definedName name="_xlnm.Print_Area" localSheetId="0">'00_表紙'!$A$1:$E$46</definedName>
    <definedName name="_xlnm.Print_Titles" localSheetId="1">'01_まず3分で理解'!$1:$2</definedName>
    <definedName name="_xlnm.Print_Area" localSheetId="1">'01_まず3分で理解'!$A$1:$E$58</definedName>
    <definedName name="_xlnm.Print_Titles" localSheetId="2">'02_歴史と背景'!$1:$2</definedName>
    <definedName name="_xlnm.Print_Area" localSheetId="2">'02_歴史と背景'!$A$1:$E$42</definedName>
    <definedName name="_xlnm.Print_Titles" localSheetId="3">'03_必要になった経緯'!$1:$2</definedName>
    <definedName name="_xlnm.Print_Area" localSheetId="3">'03_必要になった経緯'!$A$1:$E$34</definedName>
    <definedName name="_xlnm.Print_Titles" localSheetId="4">'04_使い方（手順）'!$1:$2</definedName>
    <definedName name="_xlnm.Print_Area" localSheetId="4">'04_使い方（手順）'!$A$1:$K$133</definedName>
    <definedName name="_xlnm.Print_Titles" localSheetId="5">'05_コマンド集'!$1:$2</definedName>
    <definedName name="_xlnm.Print_Area" localSheetId="5">'05_コマンド集'!$A$1:$E$102</definedName>
    <definedName name="_xlnm.Print_Titles" localSheetId="6">'06_出力の見方'!$1:$2</definedName>
    <definedName name="_xlnm.Print_Area" localSheetId="6">'06_出力の見方'!$A$1:$M$198</definedName>
    <definedName name="_xlnm.Print_Titles" localSheetId="7">'07_解消予定時刻の計算'!$1:$2</definedName>
    <definedName name="_xlnm.Print_Area" localSheetId="7">'07_解消予定時刻の計算'!$A$1:$E$73</definedName>
    <definedName name="_xlnm.Print_Titles" localSheetId="8">'08_検証結果'!$1:$2</definedName>
    <definedName name="_xlnm.Print_Area" localSheetId="8">'08_検証結果'!$A$1:$E$41</definedName>
    <definedName name="_xlnm.Print_Titles" localSheetId="9">'09_注意点とトラブル'!$1:$2</definedName>
    <definedName name="_xlnm.Print_Area" localSheetId="9">'09_注意点とトラブル'!$A$1:$E$41</definedName>
    <definedName name="_xlnm.Print_Titles" localSheetId="10">'10_用語集'!$1:$2</definedName>
    <definedName name="_xlnm.Print_Area" localSheetId="10">'10_用語集'!$A$1:$E$30</definedName>
    <definedName name="_xlnm.Print_Titles" localSheetId="11">'11_参考資料'!$1:$2</definedName>
    <definedName name="_xlnm.Print_Area" localSheetId="11">'11_参考資料'!$A$1:$E$24</definedName>
    <definedName name="_xlnm.Print_Titles" localSheetId="12">'12_スクリプト全文'!$1:$2</definedName>
    <definedName name="_xlnm.Print_Area" localSheetId="12">'12_スクリプト全文'!$A$1:$C$535</definedName>
  </definedNames>
  <calcPr calcId="124519" fullCalcOnLoad="1"/>
</workbook>
</file>

<file path=xl/styles.xml><?xml version="1.0" encoding="utf-8"?>
<styleSheet xmlns="http://schemas.openxmlformats.org/spreadsheetml/2006/main">
  <numFmts count="1">
    <numFmt numFmtId="164" formatCode="hh:mm:ss"/>
  </numFmts>
  <fonts count="14">
    <font>
      <name val="Meiryo UI"/>
      <charset val="128"/>
      <family val="3"/>
      <sz val="10"/>
    </font>
    <font>
      <name val="Meiryo UI"/>
      <sz val="10"/>
    </font>
    <font>
      <name val="Meiryo UI"/>
      <b val="1"/>
      <color rgb="00FFFFFF"/>
      <sz val="15"/>
    </font>
    <font>
      <name val="Meiryo UI"/>
      <color rgb="00404040"/>
      <sz val="9"/>
    </font>
    <font>
      <name val="Meiryo UI"/>
      <b val="1"/>
      <color rgb="00262626"/>
      <sz val="10.5"/>
    </font>
    <font>
      <name val="Meiryo UI"/>
      <b val="1"/>
      <color rgb="00FFFFFF"/>
      <sz val="10"/>
    </font>
    <font>
      <name val="Meiryo UI"/>
      <b val="1"/>
      <color rgb="00262626"/>
      <sz val="10"/>
    </font>
    <font>
      <name val="Meiryo UI"/>
      <color rgb="00262626"/>
      <sz val="10"/>
    </font>
    <font>
      <name val="Meiryo UI"/>
      <b val="1"/>
      <color rgb="00262626"/>
      <sz val="12"/>
    </font>
    <font>
      <name val="Meiryo UI"/>
      <color rgb="00000000"/>
      <sz val="10"/>
    </font>
    <font>
      <name val="Meiryo UI"/>
      <b val="1"/>
      <color rgb="00404040"/>
      <sz val="9"/>
    </font>
    <font>
      <name val="Meiryo UI"/>
      <b val="1"/>
      <color rgb="00000000"/>
      <sz val="10.5"/>
    </font>
    <font>
      <name val="Meiryo UI"/>
      <color rgb="00404040"/>
      <sz val="9.5"/>
    </font>
    <font>
      <name val="Meiryo UI"/>
      <color rgb="007F7F7F"/>
      <sz val="9"/>
    </font>
  </fonts>
  <fills count="9">
    <fill>
      <patternFill/>
    </fill>
    <fill>
      <patternFill patternType="gray125"/>
    </fill>
    <fill>
      <patternFill patternType="solid">
        <fgColor rgb="00262626"/>
        <bgColor rgb="00262626"/>
      </patternFill>
    </fill>
    <fill>
      <patternFill patternType="solid">
        <fgColor rgb="00D9D9D9"/>
        <bgColor rgb="00D9D9D9"/>
      </patternFill>
    </fill>
    <fill>
      <patternFill patternType="solid">
        <fgColor rgb="00F2F2F2"/>
        <bgColor rgb="00F2F2F2"/>
      </patternFill>
    </fill>
    <fill>
      <patternFill patternType="solid">
        <fgColor rgb="00404040"/>
        <bgColor rgb="00404040"/>
      </patternFill>
    </fill>
    <fill>
      <patternFill patternType="solid">
        <fgColor rgb="00FFFFFF"/>
        <bgColor rgb="00FFFFFF"/>
      </patternFill>
    </fill>
    <fill>
      <patternFill patternType="solid">
        <fgColor rgb="00F8F8F8"/>
        <bgColor rgb="00F8F8F8"/>
      </patternFill>
    </fill>
    <fill>
      <patternFill patternType="solid">
        <fgColor rgb="00E7E7E7"/>
        <bgColor rgb="00E7E7E7"/>
      </patternFill>
    </fill>
  </fills>
  <borders count="15">
    <border>
      <left/>
      <right/>
      <top/>
      <bottom/>
      <diagonal/>
    </border>
    <border>
      <left style="thick">
        <color rgb="00595959"/>
      </left>
    </border>
    <border>
      <left style="thin">
        <color rgb="00A6A6A6"/>
      </left>
      <right style="thin">
        <color rgb="00A6A6A6"/>
      </right>
      <top style="thin">
        <color rgb="00A6A6A6"/>
      </top>
      <bottom style="thin">
        <color rgb="00A6A6A6"/>
      </bottom>
    </border>
    <border>
      <bottom style="medium">
        <color rgb="00404040"/>
      </bottom>
    </border>
    <border>
      <left style="medium">
        <color rgb="007F7F7F"/>
      </left>
      <top style="thin">
        <color rgb="00BFBFBF"/>
      </top>
    </border>
    <border>
      <top style="thin">
        <color rgb="00BFBFBF"/>
      </top>
    </border>
    <border>
      <right style="thin">
        <color rgb="00BFBFBF"/>
      </right>
      <top style="thin">
        <color rgb="00BFBFBF"/>
      </top>
    </border>
    <border>
      <left style="medium">
        <color rgb="007F7F7F"/>
      </left>
    </border>
    <border/>
    <border>
      <right style="thin">
        <color rgb="00BFBFBF"/>
      </right>
    </border>
    <border>
      <left style="medium">
        <color rgb="007F7F7F"/>
      </left>
      <bottom style="thin">
        <color rgb="00BFBFBF"/>
      </bottom>
    </border>
    <border>
      <bottom style="thin">
        <color rgb="00BFBFBF"/>
      </bottom>
    </border>
    <border>
      <right style="thin">
        <color rgb="00BFBFBF"/>
      </right>
      <bottom style="thin">
        <color rgb="00BFBFBF"/>
      </bottom>
    </border>
    <border>
      <left style="medium">
        <color rgb="00000000"/>
      </left>
      <right style="medium">
        <color rgb="00000000"/>
      </right>
      <top style="medium">
        <color rgb="00000000"/>
      </top>
      <bottom style="medium">
        <color rgb="00000000"/>
      </bottom>
    </border>
    <border>
      <right style="medium">
        <color rgb="007F7F7F"/>
      </right>
    </border>
  </borders>
  <cellStyleXfs count="1">
    <xf numFmtId="0" fontId="1" fillId="0" borderId="0"/>
  </cellStyleXfs>
  <cellXfs count="44">
    <xf numFmtId="0" fontId="0" fillId="0" borderId="0" pivotButton="0" quotePrefix="0" xfId="0"/>
    <xf numFmtId="0" fontId="2" fillId="2" borderId="0" applyAlignment="1" pivotButton="0" quotePrefix="0" xfId="0">
      <alignment horizontal="left" vertical="center" indent="1"/>
    </xf>
    <xf numFmtId="0" fontId="0" fillId="2" borderId="0" pivotButton="0" quotePrefix="0" xfId="0"/>
    <xf numFmtId="0" fontId="3" fillId="3" borderId="0" applyAlignment="1" pivotButton="0" quotePrefix="0" xfId="0">
      <alignment horizontal="left" vertical="center" indent="1"/>
    </xf>
    <xf numFmtId="0" fontId="0" fillId="3" borderId="0" pivotButton="0" quotePrefix="0" xfId="0"/>
    <xf numFmtId="0" fontId="4" fillId="4" borderId="1" applyAlignment="1" pivotButton="0" quotePrefix="0" xfId="0">
      <alignment horizontal="left" vertical="top" wrapText="1"/>
    </xf>
    <xf numFmtId="0" fontId="0" fillId="4" borderId="1" pivotButton="0" quotePrefix="0" xfId="0"/>
    <xf numFmtId="0" fontId="5" fillId="5" borderId="2" applyAlignment="1" pivotButton="0" quotePrefix="0" xfId="0">
      <alignment horizontal="center" vertical="center" wrapText="1"/>
    </xf>
    <xf numFmtId="0" fontId="0" fillId="5" borderId="2" pivotButton="0" quotePrefix="0" xfId="0"/>
    <xf numFmtId="0" fontId="6" fillId="6" borderId="2" applyAlignment="1" pivotButton="0" quotePrefix="0" xfId="0">
      <alignment horizontal="left" vertical="top" wrapText="1"/>
    </xf>
    <xf numFmtId="0" fontId="7" fillId="6" borderId="2" applyAlignment="1" pivotButton="0" quotePrefix="0" xfId="0">
      <alignment horizontal="left" vertical="top" wrapText="1"/>
    </xf>
    <xf numFmtId="0" fontId="0" fillId="6" borderId="2" pivotButton="0" quotePrefix="0" xfId="0"/>
    <xf numFmtId="0" fontId="6" fillId="7" borderId="2" applyAlignment="1" pivotButton="0" quotePrefix="0" xfId="0">
      <alignment horizontal="left" vertical="top" wrapText="1"/>
    </xf>
    <xf numFmtId="0" fontId="7" fillId="7" borderId="2" applyAlignment="1" pivotButton="0" quotePrefix="0" xfId="0">
      <alignment horizontal="left" vertical="top" wrapText="1"/>
    </xf>
    <xf numFmtId="0" fontId="0" fillId="7" borderId="2" pivotButton="0" quotePrefix="0" xfId="0"/>
    <xf numFmtId="0" fontId="8" fillId="0" borderId="3" applyAlignment="1" pivotButton="0" quotePrefix="0" xfId="0">
      <alignment horizontal="left" vertical="bottom"/>
    </xf>
    <xf numFmtId="0" fontId="0" fillId="0" borderId="3" pivotButton="0" quotePrefix="0" xfId="0"/>
    <xf numFmtId="0" fontId="9" fillId="0" borderId="0" applyAlignment="1" pivotButton="0" quotePrefix="0" xfId="0">
      <alignment horizontal="left" vertical="top" wrapText="1"/>
    </xf>
    <xf numFmtId="0" fontId="7" fillId="8" borderId="1" applyAlignment="1" pivotButton="0" quotePrefix="0" xfId="0">
      <alignment horizontal="left" vertical="top" wrapText="1"/>
    </xf>
    <xf numFmtId="0" fontId="0" fillId="8" borderId="1" pivotButton="0" quotePrefix="0" xfId="0"/>
    <xf numFmtId="0" fontId="10" fillId="3" borderId="0" applyAlignment="1" pivotButton="0" quotePrefix="0" xfId="0">
      <alignment vertical="center" indent="1"/>
    </xf>
    <xf numFmtId="0" fontId="7" fillId="4" borderId="4" applyAlignment="1" pivotButton="0" quotePrefix="0" xfId="0">
      <alignment horizontal="left" vertical="center"/>
    </xf>
    <xf numFmtId="0" fontId="0" fillId="4" borderId="5" pivotButton="0" quotePrefix="0" xfId="0"/>
    <xf numFmtId="0" fontId="0" fillId="4" borderId="6" pivotButton="0" quotePrefix="0" xfId="0"/>
    <xf numFmtId="0" fontId="7" fillId="4" borderId="7" applyAlignment="1" pivotButton="0" quotePrefix="0" xfId="0">
      <alignment horizontal="left" vertical="center"/>
    </xf>
    <xf numFmtId="0" fontId="0" fillId="4" borderId="8" pivotButton="0" quotePrefix="0" xfId="0"/>
    <xf numFmtId="0" fontId="0" fillId="4" borderId="9" pivotButton="0" quotePrefix="0" xfId="0"/>
    <xf numFmtId="0" fontId="7" fillId="4" borderId="10" applyAlignment="1" pivotButton="0" quotePrefix="0" xfId="0">
      <alignment horizontal="left" vertical="center"/>
    </xf>
    <xf numFmtId="0" fontId="0" fillId="4" borderId="11" pivotButton="0" quotePrefix="0" xfId="0"/>
    <xf numFmtId="0" fontId="0" fillId="4" borderId="12" pivotButton="0" quotePrefix="0" xfId="0"/>
    <xf numFmtId="0" fontId="5" fillId="5" borderId="2" applyAlignment="1" pivotButton="0" quotePrefix="0" xfId="0">
      <alignment horizontal="center" vertical="center"/>
    </xf>
    <xf numFmtId="0" fontId="4" fillId="3" borderId="2" applyAlignment="1" pivotButton="0" quotePrefix="0" xfId="0">
      <alignment vertical="center" indent="1"/>
    </xf>
    <xf numFmtId="0" fontId="0" fillId="3" borderId="2" pivotButton="0" quotePrefix="0" xfId="0"/>
    <xf numFmtId="0" fontId="7" fillId="0" borderId="2" applyAlignment="1" pivotButton="0" quotePrefix="0" xfId="0">
      <alignment vertical="center" wrapText="1"/>
    </xf>
    <xf numFmtId="164" fontId="11" fillId="6" borderId="13" applyAlignment="1" pivotButton="0" quotePrefix="0" xfId="0">
      <alignment horizontal="center" vertical="center"/>
    </xf>
    <xf numFmtId="0" fontId="12" fillId="6" borderId="2" applyAlignment="1" pivotButton="0" quotePrefix="0" xfId="0">
      <alignment vertical="center" wrapText="1"/>
    </xf>
    <xf numFmtId="0" fontId="11" fillId="6" borderId="13" applyAlignment="1" pivotButton="0" quotePrefix="0" xfId="0">
      <alignment horizontal="center" vertical="center"/>
    </xf>
    <xf numFmtId="0" fontId="6" fillId="0" borderId="2" applyAlignment="1" pivotButton="0" quotePrefix="0" xfId="0">
      <alignment vertical="center" wrapText="1"/>
    </xf>
    <xf numFmtId="1" fontId="4" fillId="8" borderId="2" applyAlignment="1" pivotButton="0" quotePrefix="0" xfId="0">
      <alignment horizontal="center" vertical="center"/>
    </xf>
    <xf numFmtId="164" fontId="4" fillId="8" borderId="2" applyAlignment="1" pivotButton="0" quotePrefix="0" xfId="0">
      <alignment horizontal="center" vertical="center"/>
    </xf>
    <xf numFmtId="0" fontId="4" fillId="8" borderId="2" applyAlignment="1" pivotButton="0" quotePrefix="0" xfId="0">
      <alignment horizontal="center" vertical="center"/>
    </xf>
    <xf numFmtId="0" fontId="13" fillId="8" borderId="14" applyAlignment="1" pivotButton="0" quotePrefix="0" xfId="0">
      <alignment horizontal="right" vertical="center"/>
    </xf>
    <xf numFmtId="0" fontId="7" fillId="4" borderId="0" applyAlignment="1" pivotButton="0" quotePrefix="0" xfId="0">
      <alignment vertical="top" wrapText="1"/>
    </xf>
    <xf numFmtId="0" fontId="7"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62626"/>
    <outlinePr summaryBelow="1" summaryRight="1"/>
    <pageSetUpPr fitToPage="1"/>
  </sheetPr>
  <dimension ref="B1:E45"/>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26" customWidth="1" min="2" max="2"/>
    <col width="46" customWidth="1" min="3" max="3"/>
    <col width="46" customWidth="1" min="4" max="4"/>
    <col width="30" customWidth="1" min="5" max="5"/>
  </cols>
  <sheetData>
    <row r="1" ht="34" customHeight="1">
      <c r="B1" s="1" t="inlineStr">
        <is>
          <t>JBoss EAP コネクションプール確認コマンド「jbpool」解説書</t>
        </is>
      </c>
      <c r="C1" s="2" t="n"/>
      <c r="D1" s="2" t="n"/>
      <c r="E1" s="2" t="n"/>
    </row>
    <row r="2" ht="18" customHeight="1">
      <c r="B2" s="3" t="inlineStr">
        <is>
          <t>JBoss EAP コネクションプール確認コマンド「jbpool」解説書　｜　2026-10-17</t>
        </is>
      </c>
      <c r="C2" s="4" t="n"/>
      <c r="D2" s="4" t="n"/>
      <c r="E2" s="4" t="n"/>
    </row>
    <row r="3" ht="10" customHeight="1"/>
    <row r="4" ht="46.65" customHeight="1">
      <c r="B4" s="5" t="inlineStr">
        <is>
          <t>ECS（ECS Exec）／Docker Compose で動く「フロント」「バック」各コンテナの JBoss EAP を、JBoss CLI でのぞいて調べるためのコマンドと、その読み方・歴史・しくみ</t>
        </is>
      </c>
      <c r="C4" s="6" t="n"/>
      <c r="D4" s="6" t="n"/>
      <c r="E4" s="6" t="n"/>
    </row>
    <row r="5" ht="8" customHeight="1"/>
    <row r="6" ht="22.5" customHeight="1">
      <c r="B6" s="7" t="inlineStr">
        <is>
          <t>項目</t>
        </is>
      </c>
      <c r="C6" s="7" t="inlineStr">
        <is>
          <t>内容</t>
        </is>
      </c>
      <c r="D6" s="8" t="n"/>
      <c r="E6" s="8" t="n"/>
    </row>
    <row r="7" ht="22.5" customHeight="1">
      <c r="B7" s="9" t="inlineStr">
        <is>
          <t>作成日</t>
        </is>
      </c>
      <c r="C7" s="10" t="inlineStr">
        <is>
          <t>2026-10-17</t>
        </is>
      </c>
      <c r="D7" s="11" t="n"/>
      <c r="E7" s="11" t="n"/>
    </row>
    <row r="8" ht="22.5" customHeight="1">
      <c r="B8" s="12" t="inlineStr">
        <is>
          <t>対象</t>
        </is>
      </c>
      <c r="C8" s="13" t="inlineStr">
        <is>
          <t>JBoss EAP 7.4 / 8.0 / 8.1（standalone モード）と、その上流の WildFly 10 以降</t>
        </is>
      </c>
      <c r="D8" s="14" t="n"/>
      <c r="E8" s="14" t="n"/>
    </row>
    <row r="9" ht="22.5" customHeight="1">
      <c r="B9" s="9" t="inlineStr">
        <is>
          <t>実行場所</t>
        </is>
      </c>
      <c r="C9" s="10" t="inlineStr">
        <is>
          <t>ECS タスク内のフロント／バック各コンテナ（ECS Exec）、または docker compose のサービス内</t>
        </is>
      </c>
      <c r="D9" s="11" t="n"/>
      <c r="E9" s="11" t="n"/>
    </row>
    <row r="10" ht="22.5" customHeight="1">
      <c r="B10" s="12" t="inlineStr">
        <is>
          <t>前提</t>
        </is>
      </c>
      <c r="C10" s="13" t="inlineStr">
        <is>
          <t>コンテナの中で $JBOSS_HOME/bin/jboss-cli.sh が動くこと（このコマンドはそれを自動で探します）</t>
        </is>
      </c>
      <c r="D10" s="14" t="n"/>
      <c r="E10" s="14" t="n"/>
    </row>
    <row r="11" ht="39" customHeight="1">
      <c r="B11" s="9" t="inlineStr">
        <is>
          <t>動作確認</t>
        </is>
      </c>
      <c r="C11" s="10" t="inlineStr">
        <is>
          <t>WildFly 41.0.1.Final（EAP 8 系の上流）を Docker で 2 台（front／back、ネットワーク共有＋port-offset 100）起動し、あふれ・タイムアウト・アイドル回収を実際に起こして確認（詳細は 08_検証結果）</t>
        </is>
      </c>
      <c r="D11" s="11" t="n"/>
      <c r="E11" s="11" t="n"/>
    </row>
    <row r="12" ht="8" customHeight="1"/>
    <row r="13" ht="6" customHeight="1"/>
    <row r="14" ht="24" customHeight="1">
      <c r="B14" s="15" t="inlineStr">
        <is>
          <t>■ 3 行まとめ</t>
        </is>
      </c>
      <c r="C14" s="16" t="n"/>
      <c r="D14" s="16" t="n"/>
      <c r="E14" s="16" t="n"/>
    </row>
    <row r="15" ht="4" customHeight="1"/>
    <row r="16" ht="37" customHeight="1">
      <c r="B16" s="17" t="inlineStr">
        <is>
          <t>・jbpool.sh をコンテナのシェルに丸ごと貼り付けると、その JBoss EAP の全データソースについて「いま何本使っているか」「あふれて待っている人がいるか」「いつタイムアウトで解消するか」が一覧で出ます。</t>
        </is>
      </c>
    </row>
    <row r="17" ht="20.5" customHeight="1">
      <c r="B17" s="17" t="inlineStr">
        <is>
          <t>・「jbpool watch 10」で 10 秒ごとの推移（増えた・減った・待った・タイムアウトした）を、「jbpool csv」で Excel 用の CSV を出せます。</t>
        </is>
      </c>
    </row>
    <row r="18" ht="37" customHeight="1">
      <c r="B18" s="17" t="inlineStr">
        <is>
          <t>・設定を変えない（読み取り専用）・パスワードを読まない・小さなメモリで動く・フロント／バックの管理ポートのずれを自動判別、という安全設計です。</t>
        </is>
      </c>
    </row>
    <row r="19" ht="4" customHeight="1"/>
    <row r="20" ht="6" customHeight="1"/>
    <row r="21" ht="24" customHeight="1">
      <c r="B21" s="15" t="inlineStr">
        <is>
          <t>■ 成果物</t>
        </is>
      </c>
      <c r="C21" s="16" t="n"/>
      <c r="D21" s="16" t="n"/>
      <c r="E21" s="16" t="n"/>
    </row>
    <row r="22" ht="4" customHeight="1"/>
    <row r="23" ht="22.5" customHeight="1">
      <c r="B23" s="7" t="inlineStr">
        <is>
          <t>ファイル</t>
        </is>
      </c>
      <c r="C23" s="7" t="inlineStr">
        <is>
          <t>中身</t>
        </is>
      </c>
      <c r="D23" s="7" t="inlineStr">
        <is>
          <t>使い方</t>
        </is>
      </c>
      <c r="E23" s="8" t="n"/>
    </row>
    <row r="24" ht="39" customHeight="1">
      <c r="B24" s="9" t="inlineStr">
        <is>
          <t>jbpool.sh</t>
        </is>
      </c>
      <c r="C24" s="10" t="inlineStr">
        <is>
          <t>本体スクリプト（ASCII のみ・タブなし・貼り付け安全）</t>
        </is>
      </c>
      <c r="D24" s="10" t="inlineStr">
        <is>
          <t>コンテナのシェルに全文を貼り付ける／docker compose exec -T … sh -s &lt; jbpool.sh で流し込む</t>
        </is>
      </c>
      <c r="E24" s="11" t="n"/>
    </row>
    <row r="25" ht="39" customHeight="1">
      <c r="B25" s="12" t="inlineStr">
        <is>
          <t>JBossEAP_ConnectionPool_Check.md</t>
        </is>
      </c>
      <c r="C25" s="13" t="inlineStr">
        <is>
          <t>この解説書の Markdown 版</t>
        </is>
      </c>
      <c r="D25" s="13" t="inlineStr">
        <is>
          <t>Git やチャットで共有するとき</t>
        </is>
      </c>
      <c r="E25" s="14" t="n"/>
    </row>
    <row r="26" ht="39" customHeight="1">
      <c r="B26" s="9" t="inlineStr">
        <is>
          <t>JBossEAP_ConnectionPool_Check.xlsx</t>
        </is>
      </c>
      <c r="C26" s="10" t="inlineStr">
        <is>
          <t>この解説書の Excel 版</t>
        </is>
      </c>
      <c r="D26" s="10" t="inlineStr">
        <is>
          <t>印刷・レビュー・計算シート（07）を使うとき</t>
        </is>
      </c>
      <c r="E26" s="11" t="n"/>
    </row>
    <row r="27" ht="8" customHeight="1"/>
    <row r="28" ht="6" customHeight="1"/>
    <row r="29" ht="24" customHeight="1">
      <c r="B29" s="15" t="inlineStr">
        <is>
          <t>■ シートの案内</t>
        </is>
      </c>
      <c r="C29" s="16" t="n"/>
      <c r="D29" s="16" t="n"/>
      <c r="E29" s="16" t="n"/>
    </row>
    <row r="30" ht="4" customHeight="1"/>
    <row r="31" ht="22.5" customHeight="1">
      <c r="B31" s="7" t="inlineStr">
        <is>
          <t>シート</t>
        </is>
      </c>
      <c r="C31" s="7" t="inlineStr">
        <is>
          <t>書いてあること</t>
        </is>
      </c>
      <c r="D31" s="7" t="inlineStr">
        <is>
          <t>こんな人に</t>
        </is>
      </c>
      <c r="E31" s="8" t="n"/>
    </row>
    <row r="32" ht="39" customHeight="1">
      <c r="B32" s="9" t="inlineStr">
        <is>
          <t>01_まず3分で理解</t>
        </is>
      </c>
      <c r="C32" s="10" t="inlineStr">
        <is>
          <t>傘立てのたとえ話で、プール・あふれ・タイムアウトを説明</t>
        </is>
      </c>
      <c r="D32" s="10" t="inlineStr">
        <is>
          <t>はじめての人・小学生</t>
        </is>
      </c>
      <c r="E32" s="11" t="n"/>
    </row>
    <row r="33" ht="39" customHeight="1">
      <c r="B33" s="12" t="inlineStr">
        <is>
          <t>02_歴史と背景</t>
        </is>
      </c>
      <c r="C33" s="13" t="inlineStr">
        <is>
          <t>1997 年の JDBC から 2026 年の EAP 8.1／ECS Exec までの年表</t>
        </is>
      </c>
      <c r="D33" s="13" t="inlineStr">
        <is>
          <t>なぜ今こうなっているか知りたい人</t>
        </is>
      </c>
      <c r="E33" s="14" t="n"/>
    </row>
    <row r="34" ht="39" customHeight="1">
      <c r="B34" s="9" t="inlineStr">
        <is>
          <t>03_必要になった経緯</t>
        </is>
      </c>
      <c r="C34" s="10" t="inlineStr">
        <is>
          <t>どんな困りごとがあり、なぜこのコマンドが必要か</t>
        </is>
      </c>
      <c r="D34" s="10" t="inlineStr">
        <is>
          <t>導入を説明する人</t>
        </is>
      </c>
      <c r="E34" s="11" t="n"/>
    </row>
    <row r="35" ht="39" customHeight="1">
      <c r="B35" s="12" t="inlineStr">
        <is>
          <t>04_使い方（手順）</t>
        </is>
      </c>
      <c r="C35" s="13" t="inlineStr">
        <is>
          <t>ECS と Docker Compose での手順を 1 歩ずつ（bash／PowerShell）</t>
        </is>
      </c>
      <c r="D35" s="13" t="inlineStr">
        <is>
          <t>実際に打つ人</t>
        </is>
      </c>
      <c r="E35" s="14" t="n"/>
    </row>
    <row r="36" ht="39" customHeight="1">
      <c r="B36" s="9" t="inlineStr">
        <is>
          <t>05_コマンド集</t>
        </is>
      </c>
      <c r="C36" s="10" t="inlineStr">
        <is>
          <t>jbpool のサブコマンド・環境変数・生の CLI・ログ確認</t>
        </is>
      </c>
      <c r="D36" s="10" t="inlineStr">
        <is>
          <t>手元に置いておきたい人</t>
        </is>
      </c>
      <c r="E36" s="11" t="n"/>
    </row>
    <row r="37" ht="39" customHeight="1">
      <c r="B37" s="12" t="inlineStr">
        <is>
          <t>06_出力の見方</t>
        </is>
      </c>
      <c r="C37" s="13" t="inlineStr">
        <is>
          <t>実際の出力例と、各項目の意味（元の JBoss 属性つき）</t>
        </is>
      </c>
      <c r="D37" s="13" t="inlineStr">
        <is>
          <t>結果を読む人</t>
        </is>
      </c>
      <c r="E37" s="14" t="n"/>
    </row>
    <row r="38" ht="39" customHeight="1">
      <c r="B38" s="9" t="inlineStr">
        <is>
          <t>07_解消予定時刻の計算</t>
        </is>
      </c>
      <c r="C38" s="10" t="inlineStr">
        <is>
          <t>「いつ解消するか」の計算式と、その根拠（ソースコード）／計算シート</t>
        </is>
      </c>
      <c r="D38" s="10" t="inlineStr">
        <is>
          <t>根拠を確かめたい人</t>
        </is>
      </c>
      <c r="E38" s="11" t="n"/>
    </row>
    <row r="39" ht="22.5" customHeight="1">
      <c r="B39" s="12" t="inlineStr">
        <is>
          <t>08_検証結果</t>
        </is>
      </c>
      <c r="C39" s="13" t="inlineStr">
        <is>
          <t>実機で再現テストした結果</t>
        </is>
      </c>
      <c r="D39" s="13" t="inlineStr">
        <is>
          <t>品質を確認したい人</t>
        </is>
      </c>
      <c r="E39" s="14" t="n"/>
    </row>
    <row r="40" ht="39" customHeight="1">
      <c r="B40" s="9" t="inlineStr">
        <is>
          <t>09_注意点とトラブル</t>
        </is>
      </c>
      <c r="C40" s="10" t="inlineStr">
        <is>
          <t>メモリ・認証・ポート・統計 OFF などの注意と対処</t>
        </is>
      </c>
      <c r="D40" s="10" t="inlineStr">
        <is>
          <t>うまく動かない人</t>
        </is>
      </c>
      <c r="E40" s="11" t="n"/>
    </row>
    <row r="41" ht="39" customHeight="1">
      <c r="B41" s="12" t="inlineStr">
        <is>
          <t>10_用語集</t>
        </is>
      </c>
      <c r="C41" s="13" t="inlineStr">
        <is>
          <t>むずかしい言葉を、ふつうの言葉とこども向けの言葉で</t>
        </is>
      </c>
      <c r="D41" s="13" t="inlineStr">
        <is>
          <t>全員</t>
        </is>
      </c>
      <c r="E41" s="14" t="n"/>
    </row>
    <row r="42" ht="22.5" customHeight="1">
      <c r="B42" s="9" t="inlineStr">
        <is>
          <t>11_参考資料</t>
        </is>
      </c>
      <c r="C42" s="10" t="inlineStr">
        <is>
          <t>公式ドキュメント・ソースコード・発表記事</t>
        </is>
      </c>
      <c r="D42" s="10" t="inlineStr">
        <is>
          <t>出典を確かめたい人</t>
        </is>
      </c>
      <c r="E42" s="11" t="n"/>
    </row>
    <row r="43" ht="22.5" customHeight="1">
      <c r="B43" s="12" t="inlineStr">
        <is>
          <t>12_スクリプト全文</t>
        </is>
      </c>
      <c r="C43" s="13" t="inlineStr">
        <is>
          <t>jbpool.sh の全行（Excel は行番号つき）</t>
        </is>
      </c>
      <c r="D43" s="13" t="inlineStr">
        <is>
          <t>中身を読みたい人</t>
        </is>
      </c>
      <c r="E43" s="14" t="n"/>
    </row>
    <row r="44" ht="8" customHeight="1"/>
    <row r="45" ht="59.5" customHeight="1">
      <c r="B45" s="18" t="inlineStr">
        <is>
          <t>※ Excel のコードは「1 行＝1 セル」で入っています。コピーするときはコードの列（B 列、12_スクリプト全文では C 列）だけを縦に選んでコピーしてください。複数の列をまたいで選ぶと、見えないタブ文字が混ざり、端末に貼ったときに補完が動いてしまうことがあります。いちばん確実なのは jbpool.sh ファイルそのものを使う方法です。</t>
        </is>
      </c>
      <c r="C45" s="19" t="n"/>
      <c r="D45" s="19" t="n"/>
      <c r="E45" s="19" t="n"/>
    </row>
    <row r="46" ht="8" customHeight="1"/>
  </sheetData>
  <mergeCells count="33">
    <mergeCell ref="D34:E34"/>
    <mergeCell ref="C9:E9"/>
    <mergeCell ref="D40:E40"/>
    <mergeCell ref="D36:E36"/>
    <mergeCell ref="D31:E31"/>
    <mergeCell ref="B45:E45"/>
    <mergeCell ref="C11:E11"/>
    <mergeCell ref="B4:E4"/>
    <mergeCell ref="C8:E8"/>
    <mergeCell ref="B16:E16"/>
    <mergeCell ref="D32:E32"/>
    <mergeCell ref="D41:E41"/>
    <mergeCell ref="C7:E7"/>
    <mergeCell ref="B18:E18"/>
    <mergeCell ref="D43:E43"/>
    <mergeCell ref="B21:E21"/>
    <mergeCell ref="D37:E37"/>
    <mergeCell ref="B2:E2"/>
    <mergeCell ref="B14:E14"/>
    <mergeCell ref="C6:E6"/>
    <mergeCell ref="D25:E25"/>
    <mergeCell ref="D39:E39"/>
    <mergeCell ref="B17:E17"/>
    <mergeCell ref="B1:E1"/>
    <mergeCell ref="D24:E24"/>
    <mergeCell ref="D42:E42"/>
    <mergeCell ref="D33:E33"/>
    <mergeCell ref="D23:E23"/>
    <mergeCell ref="D38:E38"/>
    <mergeCell ref="B29:E29"/>
    <mergeCell ref="D26:E26"/>
    <mergeCell ref="D35:E35"/>
    <mergeCell ref="C10:E10"/>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2.xml><?xml version="1.0" encoding="utf-8"?>
<worksheet xmlns="http://schemas.openxmlformats.org/spreadsheetml/2006/main">
  <sheetPr>
    <tabColor rgb="00404040"/>
    <outlinePr summaryBelow="1" summaryRight="1"/>
    <pageSetUpPr fitToPage="1"/>
  </sheetPr>
  <dimension ref="B1:E57"/>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0" customWidth="1" min="2" max="2"/>
    <col width="34" customWidth="1" min="3" max="3"/>
    <col width="56" customWidth="1" min="4" max="4"/>
    <col width="10" customWidth="1" min="5" max="5"/>
  </cols>
  <sheetData>
    <row r="1" ht="34" customHeight="1">
      <c r="B1" s="1" t="inlineStr">
        <is>
          <t>まず 3 分で理解しよう ―「学校の貸し出し傘」のお話</t>
        </is>
      </c>
      <c r="C1" s="2" t="n"/>
      <c r="D1" s="2" t="n"/>
      <c r="E1" s="2" t="n"/>
    </row>
    <row r="2" ht="18" customHeight="1">
      <c r="B2" s="3" t="inlineStr">
        <is>
          <t>JBoss EAP コネクションプール確認コマンド「jbpool」解説書　｜　2026-10-17</t>
        </is>
      </c>
      <c r="C2" s="4" t="n"/>
      <c r="D2" s="4" t="n"/>
      <c r="E2" s="4" t="n"/>
    </row>
    <row r="3" ht="10" customHeight="1"/>
    <row r="4" ht="46.65" customHeight="1">
      <c r="B4" s="5" t="inlineStr">
        <is>
          <t>むずかしい言葉の前に、「学校の貸し出し傘」のお話で全体をつかみましょう。ここがわかれば、残りのシートは「お話を正式な言葉で言い直したもの」です。</t>
        </is>
      </c>
      <c r="C4" s="6" t="n"/>
      <c r="D4" s="6" t="n"/>
      <c r="E4" s="6" t="n"/>
    </row>
    <row r="5" ht="8" customHeight="1"/>
    <row r="6" ht="6" customHeight="1"/>
    <row r="7" ht="24" customHeight="1">
      <c r="B7" s="15" t="inlineStr">
        <is>
          <t>■ お話</t>
        </is>
      </c>
      <c r="C7" s="16" t="n"/>
      <c r="D7" s="16" t="n"/>
      <c r="E7" s="16" t="n"/>
    </row>
    <row r="8" ht="4" customHeight="1"/>
    <row r="9" ht="74" customHeight="1">
      <c r="B9" s="17" t="inlineStr">
        <is>
          <t>① 雨の日、子どもたち（＝お客さんのリクエスト）が外に出るには傘（＝データベースとの「コネクション」）が必要です。毎回お店で新しい傘を買う（＝コネクションを新しく作る：ネットワークをつなぎ、ログインして…）のは、時間もお金もかかります。そこで学校は、昇降口に「貸し出し用の傘立て」（＝コネクションプール）を置きました。使い終わった傘は傘立てに返し、次の子がまた使います。</t>
        </is>
      </c>
    </row>
    <row r="10" ht="4" customHeight="1"/>
    <row r="11" ht="74" customHeight="1">
      <c r="B11" s="17" t="inlineStr">
        <is>
          <t>② 傘立てに置ける本数には上限があります（＝max-pool-size。何も設定しないと 20 本）。全部貸し出し中のときに来た子は、列に並んで待ちます。これが「あふれ（オーバーフロー）」です。待てる時間には決まりがあり（＝blocking-timeout-wait-millis。ふつうは 30 秒）、それを過ぎると「ごめんね、傘はありません」と断られます。JBoss ではこのとき IJ000453／IJ000655 というエラーが出ます。</t>
        </is>
      </c>
    </row>
    <row r="12" ht="4" customHeight="1"/>
    <row r="13" ht="57.5" customHeight="1">
      <c r="B13" s="17" t="inlineStr">
        <is>
          <t>③ 晴れが続いて傘があまっていると、用務員さん（＝IdleRemover）が見回りに来て、長いあいだ使われていない傘を片付けます（＝idle-timeout-minutes。ふつうは 30 分）。見回りは「いちばん短い片付け時間の半分」ごと。ただし同じ傘立てを調べるのは 1 分に 1 回までです。</t>
        </is>
      </c>
    </row>
    <row r="14" ht="4" customHeight="1"/>
    <row r="15" ht="41" customHeight="1">
      <c r="B15" s="17" t="inlineStr">
        <is>
          <t>④ 傘を借りるときは「さっき返ってきたばかりの傘」から先に渡されます（LIFO：後に入れたものから先に出す）。だから奥にある傘はずっと使われず、片付けの順番が回ってきます。片付けは「いちばん長く使われていない傘」から順番です。</t>
        </is>
      </c>
    </row>
    <row r="16" ht="4" customHeight="1"/>
    <row r="17" ht="57.5" customHeight="1">
      <c r="B17" s="17" t="inlineStr">
        <is>
          <t>⑤ 「いつも最低 ◯ 本は置いておく」という決まり（＝min-pool-size）もありますが、じつは「最初から並べておく（pool-prefill）」か「最低本数を厳しく守る（pool-use-strict-min）」のどちらかを ON にしていないと、片付けのときに 0 本まで減ることがあります。これは今回、実際に動かして確かめました。</t>
        </is>
      </c>
    </row>
    <row r="18" ht="4" customHeight="1"/>
    <row r="19" ht="41" customHeight="1">
      <c r="B19" s="17" t="inlineStr">
        <is>
          <t>⑥ 大事なのが「貸し出しノート」（＝統計 statistics）。最初はノートを付けていない（OFF）ので、数を聞いても 0 しか答えてくれません。「jbpool enable-stats」でノートを付け始めます。</t>
        </is>
      </c>
    </row>
    <row r="20" ht="4" customHeight="1"/>
    <row r="21" ht="57.5" customHeight="1">
      <c r="B21" s="17" t="inlineStr">
        <is>
          <t>⑦ お店（アプリ）には受付係（＝フロントコンテナ）と料理係（＝バックコンテナ）がいて、それぞれが自分の傘立てを持っています。料理係の傘が足りなくなると料理が遅れ、受付にもお客さんがたまっていきます（あふれの連鎖）。だから両方の傘立てを調べる必要があるのです。</t>
        </is>
      </c>
    </row>
    <row r="22" ht="4" customHeight="1"/>
    <row r="23" ht="57.5" customHeight="1">
      <c r="B23" s="17" t="inlineStr">
        <is>
          <t>⑧ jbpool は、管理人さん専用のトランシーバー（＝JBoss CLI）で「いま何本貸し出し中？並んでいる子は？いつ解決しそう？」と聞いて、表にまとめてくれる道具です。お店は遠くの AWS にあるので、合鍵（＝ECS Exec）で中に入って使います。手元の机の上に同じお店の模型（＝Docker Compose）を作って試すこともできます。</t>
        </is>
      </c>
    </row>
    <row r="24" ht="4" customHeight="1"/>
    <row r="25" ht="6" customHeight="1"/>
    <row r="26" ht="24" customHeight="1">
      <c r="B26" s="15" t="inlineStr">
        <is>
          <t>■ ことばの対応表</t>
        </is>
      </c>
      <c r="C26" s="16" t="n"/>
      <c r="D26" s="16" t="n"/>
      <c r="E26" s="16" t="n"/>
    </row>
    <row r="27" ht="4" customHeight="1"/>
    <row r="28" ht="22.5" customHeight="1">
      <c r="B28" s="7" t="inlineStr">
        <is>
          <t>本当のことば</t>
        </is>
      </c>
      <c r="C28" s="7" t="inlineStr">
        <is>
          <t>傘立てでいうと</t>
        </is>
      </c>
      <c r="D28" s="7" t="inlineStr">
        <is>
          <t>ひとことで言うと</t>
        </is>
      </c>
      <c r="E28" s="8" t="n"/>
    </row>
    <row r="29" ht="22.5" customHeight="1">
      <c r="B29" s="9" t="inlineStr">
        <is>
          <t>コネクション（接続）</t>
        </is>
      </c>
      <c r="C29" s="10" t="inlineStr">
        <is>
          <t>傘</t>
        </is>
      </c>
      <c r="D29" s="10" t="inlineStr">
        <is>
          <t>データベースと話すための通り道。作るのに時間がかかる</t>
        </is>
      </c>
      <c r="E29" s="11" t="n"/>
    </row>
    <row r="30" ht="22.5" customHeight="1">
      <c r="B30" s="12" t="inlineStr">
        <is>
          <t>コネクションプール</t>
        </is>
      </c>
      <c r="C30" s="13" t="inlineStr">
        <is>
          <t>貸し出し用の傘立て</t>
        </is>
      </c>
      <c r="D30" s="13" t="inlineStr">
        <is>
          <t>作った通り道を使い回すしくみ</t>
        </is>
      </c>
      <c r="E30" s="14" t="n"/>
    </row>
    <row r="31" ht="22.5" customHeight="1">
      <c r="B31" s="9" t="inlineStr">
        <is>
          <t>getConnection／close</t>
        </is>
      </c>
      <c r="C31" s="10" t="inlineStr">
        <is>
          <t>傘を借りる／返す</t>
        </is>
      </c>
      <c r="D31" s="10" t="inlineStr">
        <is>
          <t>返さないと次の人が使えない</t>
        </is>
      </c>
      <c r="E31" s="11" t="n"/>
    </row>
    <row r="32" ht="22.5" customHeight="1">
      <c r="B32" s="12" t="inlineStr">
        <is>
          <t>max-pool-size</t>
        </is>
      </c>
      <c r="C32" s="13" t="inlineStr">
        <is>
          <t>傘立ての最大本数（既定 20）</t>
        </is>
      </c>
      <c r="D32" s="13" t="inlineStr">
        <is>
          <t>これ以上は増えない</t>
        </is>
      </c>
      <c r="E32" s="14" t="n"/>
    </row>
    <row r="33" ht="39" customHeight="1">
      <c r="B33" s="9" t="inlineStr">
        <is>
          <t>min-pool-size</t>
        </is>
      </c>
      <c r="C33" s="10" t="inlineStr">
        <is>
          <t>いつも置いておきたい本数（既定 0）</t>
        </is>
      </c>
      <c r="D33" s="10" t="inlineStr">
        <is>
          <t>prefill か strict-min が ON のときだけ守られる</t>
        </is>
      </c>
      <c r="E33" s="11" t="n"/>
    </row>
    <row r="34" ht="22.5" customHeight="1">
      <c r="B34" s="12" t="inlineStr">
        <is>
          <t>InUseCount</t>
        </is>
      </c>
      <c r="C34" s="13" t="inlineStr">
        <is>
          <t>いま貸し出し中の本数</t>
        </is>
      </c>
      <c r="D34" s="13" t="inlineStr">
        <is>
          <t>使われている本数</t>
        </is>
      </c>
      <c r="E34" s="14" t="n"/>
    </row>
    <row r="35" ht="22.5" customHeight="1">
      <c r="B35" s="9" t="inlineStr">
        <is>
          <t>IdleCount</t>
        </is>
      </c>
      <c r="C35" s="10" t="inlineStr">
        <is>
          <t>傘立てで休んでいる本数</t>
        </is>
      </c>
      <c r="D35" s="10" t="inlineStr">
        <is>
          <t>すぐ貸せる本数</t>
        </is>
      </c>
      <c r="E35" s="11" t="n"/>
    </row>
    <row r="36" ht="22.5" customHeight="1">
      <c r="B36" s="12" t="inlineStr">
        <is>
          <t>ActiveCount</t>
        </is>
      </c>
      <c r="C36" s="13" t="inlineStr">
        <is>
          <t>学校にある傘の合計</t>
        </is>
      </c>
      <c r="D36" s="13" t="inlineStr">
        <is>
          <t>貸し出し中＋休み中</t>
        </is>
      </c>
      <c r="E36" s="14" t="n"/>
    </row>
    <row r="37" ht="22.5" customHeight="1">
      <c r="B37" s="9" t="inlineStr">
        <is>
          <t>待ち行列（キュー）</t>
        </is>
      </c>
      <c r="C37" s="10" t="inlineStr">
        <is>
          <t>傘がなくて並んでいる子の列</t>
        </is>
      </c>
      <c r="D37" s="10" t="inlineStr">
        <is>
          <t>これが「あふれ」</t>
        </is>
      </c>
      <c r="E37" s="11" t="n"/>
    </row>
    <row r="38" ht="39" customHeight="1">
      <c r="B38" s="12" t="inlineStr">
        <is>
          <t>blocking-timeout-wait-millis</t>
        </is>
      </c>
      <c r="C38" s="13" t="inlineStr">
        <is>
          <t>並んで待てる時間（既定 30 秒）</t>
        </is>
      </c>
      <c r="D38" s="13" t="inlineStr">
        <is>
          <t>過ぎるとエラー（IJ000655）</t>
        </is>
      </c>
      <c r="E38" s="14" t="n"/>
    </row>
    <row r="39" ht="39" customHeight="1">
      <c r="B39" s="9" t="inlineStr">
        <is>
          <t>idle-timeout-minutes</t>
        </is>
      </c>
      <c r="C39" s="10" t="inlineStr">
        <is>
          <t>使われない傘を片付けるまでの時間（既定 30 分）</t>
        </is>
      </c>
      <c r="D39" s="10" t="inlineStr">
        <is>
          <t>過ぎると閉じられる</t>
        </is>
      </c>
      <c r="E39" s="11" t="n"/>
    </row>
    <row r="40" ht="22.5" customHeight="1">
      <c r="B40" s="12" t="inlineStr">
        <is>
          <t>IdleRemover</t>
        </is>
      </c>
      <c r="C40" s="13" t="inlineStr">
        <is>
          <t>見回りの用務員さん</t>
        </is>
      </c>
      <c r="D40" s="13" t="inlineStr">
        <is>
          <t>片付け係。一番短い片付け時間の半分ごとに起きる</t>
        </is>
      </c>
      <c r="E40" s="14" t="n"/>
    </row>
    <row r="41" ht="22.5" customHeight="1">
      <c r="B41" s="9" t="inlineStr">
        <is>
          <t>LIFO</t>
        </is>
      </c>
      <c r="C41" s="10" t="inlineStr">
        <is>
          <t>さっき返された傘から貸す</t>
        </is>
      </c>
      <c r="D41" s="10" t="inlineStr">
        <is>
          <t>奥の傘ほど使われない</t>
        </is>
      </c>
      <c r="E41" s="11" t="n"/>
    </row>
    <row r="42" ht="22.5" customHeight="1">
      <c r="B42" s="12" t="inlineStr">
        <is>
          <t>コネクションリーク</t>
        </is>
      </c>
      <c r="C42" s="13" t="inlineStr">
        <is>
          <t>傘の返し忘れ</t>
        </is>
      </c>
      <c r="D42" s="13" t="inlineStr">
        <is>
          <t>傘立てがだんだん空になる原因</t>
        </is>
      </c>
      <c r="E42" s="14" t="n"/>
    </row>
    <row r="43" ht="22.5" customHeight="1">
      <c r="B43" s="9" t="inlineStr">
        <is>
          <t>statistics-enabled</t>
        </is>
      </c>
      <c r="C43" s="10" t="inlineStr">
        <is>
          <t>貸し出しノート</t>
        </is>
      </c>
      <c r="D43" s="10" t="inlineStr">
        <is>
          <t>OFF だと全部 0 に見える</t>
        </is>
      </c>
      <c r="E43" s="11" t="n"/>
    </row>
    <row r="44" ht="22.5" customHeight="1">
      <c r="B44" s="12" t="inlineStr">
        <is>
          <t>JBoss CLI（jboss-cli.sh）</t>
        </is>
      </c>
      <c r="C44" s="13" t="inlineStr">
        <is>
          <t>管理人さんのトランシーバー</t>
        </is>
      </c>
      <c r="D44" s="13" t="inlineStr">
        <is>
          <t>サーバーに質問・命令する道具</t>
        </is>
      </c>
      <c r="E44" s="14" t="n"/>
    </row>
    <row r="45" ht="22.5" customHeight="1">
      <c r="B45" s="9" t="inlineStr">
        <is>
          <t>ECS Exec</t>
        </is>
      </c>
      <c r="C45" s="10" t="inlineStr">
        <is>
          <t>遠くのお店に入る合鍵</t>
        </is>
      </c>
      <c r="D45" s="10" t="inlineStr">
        <is>
          <t>AWS のコンテナの中でコマンドを打てる</t>
        </is>
      </c>
      <c r="E45" s="11" t="n"/>
    </row>
    <row r="46" ht="22.5" customHeight="1">
      <c r="B46" s="12" t="inlineStr">
        <is>
          <t>Docker Compose</t>
        </is>
      </c>
      <c r="C46" s="13" t="inlineStr">
        <is>
          <t>お店の模型セット</t>
        </is>
      </c>
      <c r="D46" s="13" t="inlineStr">
        <is>
          <t>手元で同じ構成を動かせる</t>
        </is>
      </c>
      <c r="E46" s="14" t="n"/>
    </row>
    <row r="47" ht="22.5" customHeight="1">
      <c r="B47" s="9" t="inlineStr">
        <is>
          <t>フロント／バック</t>
        </is>
      </c>
      <c r="C47" s="10" t="inlineStr">
        <is>
          <t>受付係／料理係</t>
        </is>
      </c>
      <c r="D47" s="10" t="inlineStr">
        <is>
          <t>それぞれ自分の傘立てを持つ</t>
        </is>
      </c>
      <c r="E47" s="11" t="n"/>
    </row>
    <row r="48" ht="8" customHeight="1"/>
    <row r="49" ht="6" customHeight="1"/>
    <row r="50" ht="24" customHeight="1">
      <c r="B50" s="15" t="inlineStr">
        <is>
          <t>■ ぜんたいの絵</t>
        </is>
      </c>
      <c r="C50" s="16" t="n"/>
      <c r="D50" s="16" t="n"/>
      <c r="E50" s="16" t="n"/>
    </row>
    <row r="51" ht="4" customHeight="1"/>
    <row r="52" ht="18" customHeight="1">
      <c r="B52" s="20" t="inlineStr">
        <is>
          <t>▼ 図（矢印はリクエストの流れ）　（コピーは B 列のコード行だけを縦に選択）</t>
        </is>
      </c>
      <c r="C52" s="4" t="n"/>
      <c r="D52" s="4" t="n"/>
      <c r="E52" s="4" t="n"/>
    </row>
    <row r="53" ht="15.75" customHeight="1">
      <c r="B53" s="21" t="inlineStr">
        <is>
          <t>お客さん --&gt; [フロント JBoss] --(HTTP など)--&gt; [バック JBoss] --(コネクション)--&gt; [データベース]</t>
        </is>
      </c>
      <c r="C53" s="22" t="n"/>
      <c r="D53" s="22" t="n"/>
      <c r="E53" s="23" t="n"/>
    </row>
    <row r="54" ht="15.75" customHeight="1">
      <c r="B54" s="24" t="inlineStr">
        <is>
          <t xml:space="preserve">               | 傘立て(プール) F                  | 傘立て(プール) B</t>
        </is>
      </c>
      <c r="C54" s="25" t="n"/>
      <c r="D54" s="25" t="n"/>
      <c r="E54" s="26" t="n"/>
    </row>
    <row r="55" ht="15.75" customHeight="1">
      <c r="B55" s="27" t="inlineStr">
        <is>
          <t xml:space="preserve">               | jbpool で調べる                    | jbpool で調べる</t>
        </is>
      </c>
      <c r="C55" s="28" t="n"/>
      <c r="D55" s="28" t="n"/>
      <c r="E55" s="29" t="n"/>
    </row>
    <row r="56" ht="8" customHeight="1"/>
    <row r="57" ht="43" customHeight="1">
      <c r="B57" s="18" t="inlineStr">
        <is>
          <t>※ ポイント：あふれは「どこか 1 か所の傘立て」で起きても、前の係（フロント）にも行列が伝わります。両方を同じ時刻に調べると、どこが本当の原因かがわかります。</t>
        </is>
      </c>
      <c r="C57" s="19" t="n"/>
      <c r="D57" s="19" t="n"/>
      <c r="E57" s="19" t="n"/>
    </row>
    <row r="58" ht="8" customHeight="1"/>
  </sheetData>
  <mergeCells count="36">
    <mergeCell ref="B9:E9"/>
    <mergeCell ref="D34:E34"/>
    <mergeCell ref="B15:E15"/>
    <mergeCell ref="D46:E46"/>
    <mergeCell ref="D40:E40"/>
    <mergeCell ref="D36:E36"/>
    <mergeCell ref="D31:E31"/>
    <mergeCell ref="D45:E45"/>
    <mergeCell ref="B26:E26"/>
    <mergeCell ref="B4:E4"/>
    <mergeCell ref="B50:E50"/>
    <mergeCell ref="B7:E7"/>
    <mergeCell ref="D32:E32"/>
    <mergeCell ref="D41:E41"/>
    <mergeCell ref="D47:E47"/>
    <mergeCell ref="D43:E43"/>
    <mergeCell ref="B52:E52"/>
    <mergeCell ref="B21:E21"/>
    <mergeCell ref="D37:E37"/>
    <mergeCell ref="D28:E28"/>
    <mergeCell ref="B11:E11"/>
    <mergeCell ref="B2:E2"/>
    <mergeCell ref="D39:E39"/>
    <mergeCell ref="B17:E17"/>
    <mergeCell ref="B23:E23"/>
    <mergeCell ref="B1:E1"/>
    <mergeCell ref="B57:E57"/>
    <mergeCell ref="D30:E30"/>
    <mergeCell ref="D42:E42"/>
    <mergeCell ref="D33:E33"/>
    <mergeCell ref="B13:E13"/>
    <mergeCell ref="D29:E29"/>
    <mergeCell ref="D38:E38"/>
    <mergeCell ref="B19:E19"/>
    <mergeCell ref="D44:E44"/>
    <mergeCell ref="D35:E35"/>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3.xml><?xml version="1.0" encoding="utf-8"?>
<worksheet xmlns="http://schemas.openxmlformats.org/spreadsheetml/2006/main">
  <sheetPr>
    <tabColor rgb="00595959"/>
    <outlinePr summaryBelow="1" summaryRight="1"/>
    <pageSetUpPr fitToPage="1"/>
  </sheetPr>
  <dimension ref="B1:E41"/>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14" customWidth="1" min="2" max="2"/>
    <col width="44" customWidth="1" min="3" max="3"/>
    <col width="46" customWidth="1" min="4" max="4"/>
    <col width="40" customWidth="1" min="5" max="5"/>
  </cols>
  <sheetData>
    <row r="1" ht="34" customHeight="1">
      <c r="B1" s="1" t="inlineStr">
        <is>
          <t>登場の歴史と背景 ― 1997 年から 2026 年まで</t>
        </is>
      </c>
      <c r="C1" s="2" t="n"/>
      <c r="D1" s="2" t="n"/>
      <c r="E1" s="2" t="n"/>
    </row>
    <row r="2" ht="18" customHeight="1">
      <c r="B2" s="3" t="inlineStr">
        <is>
          <t>JBoss EAP コネクションプール確認コマンド「jbpool」解説書　｜　2026-10-17</t>
        </is>
      </c>
      <c r="C2" s="4" t="n"/>
      <c r="D2" s="4" t="n"/>
      <c r="E2" s="4" t="n"/>
    </row>
    <row r="3" ht="10" customHeight="1"/>
    <row r="4" ht="46.65" customHeight="1">
      <c r="B4" s="5" t="inlineStr">
        <is>
          <t>コネクションプールは「データベースにつなぐのは高い（時間がかかる）」という昔からの悩みから生まれ、JBoss とともに育ち、いまはコンテナ（ECS／Docker）の中で動いています。年表で流れを追いましょう。</t>
        </is>
      </c>
      <c r="C4" s="6" t="n"/>
      <c r="D4" s="6" t="n"/>
      <c r="E4" s="6" t="n"/>
    </row>
    <row r="5" ht="8" customHeight="1"/>
    <row r="6" ht="22.5" customHeight="1">
      <c r="B6" s="7" t="inlineStr">
        <is>
          <t>年</t>
        </is>
      </c>
      <c r="C6" s="7" t="inlineStr">
        <is>
          <t>できごと</t>
        </is>
      </c>
      <c r="D6" s="7" t="inlineStr">
        <is>
          <t>それで何がよくなった？（背景）</t>
        </is>
      </c>
      <c r="E6" s="7" t="inlineStr">
        <is>
          <t>このコマンドとの関係</t>
        </is>
      </c>
    </row>
    <row r="7" ht="39" customHeight="1">
      <c r="B7" s="9" t="inlineStr">
        <is>
          <t>1997</t>
        </is>
      </c>
      <c r="C7" s="10" t="inlineStr">
        <is>
          <t>JDBC 1.0 登場（JDK 1.1）</t>
        </is>
      </c>
      <c r="D7" s="10" t="inlineStr">
        <is>
          <t>Java からいろいろなデータベースに同じ書き方でつなげるようになった</t>
        </is>
      </c>
      <c r="E7" s="10" t="inlineStr">
        <is>
          <t>「Connection（接続）」という考え方が Java に入った</t>
        </is>
      </c>
    </row>
    <row r="8" ht="55.5" customHeight="1">
      <c r="B8" s="12" t="inlineStr">
        <is>
          <t>1998〜1999</t>
        </is>
      </c>
      <c r="C8" s="13" t="inlineStr">
        <is>
          <t>JDBC 2.0（Optional Package：javax.sql の DataSource／ConnectionPoolDataSource／XADataSource）</t>
        </is>
      </c>
      <c r="D8" s="13" t="inlineStr">
        <is>
          <t>接続を使い回す「プール」の標準の入口ができた</t>
        </is>
      </c>
      <c r="E8" s="13" t="inlineStr">
        <is>
          <t>アプリは DataSource から借りる。今のプールの基本形</t>
        </is>
      </c>
    </row>
    <row r="9" ht="39" customHeight="1">
      <c r="B9" s="9" t="inlineStr">
        <is>
          <t>1999</t>
        </is>
      </c>
      <c r="C9" s="10" t="inlineStr">
        <is>
          <t>JBoss（当初は EJBoss）プロジェクト開始／J2EE 1.2（12 月）</t>
        </is>
      </c>
      <c r="D9" s="10" t="inlineStr">
        <is>
          <t>無料で使えるアプリケーションサーバーが広まった</t>
        </is>
      </c>
      <c r="E9" s="10" t="inlineStr">
        <is>
          <t>JBoss EAP のご先祖さま</t>
        </is>
      </c>
    </row>
    <row r="10" ht="55.5" customHeight="1">
      <c r="B10" s="12" t="inlineStr">
        <is>
          <t>2001</t>
        </is>
      </c>
      <c r="C10" s="13" t="inlineStr">
        <is>
          <t>J2EE 1.3 と JCA 1.0（Java コネクタ・アーキテクチャ）</t>
        </is>
      </c>
      <c r="D10" s="13" t="inlineStr">
        <is>
          <t>プール・トランザクション・セキュリティをサーバーがまとめて面倒を見る標準ができた</t>
        </is>
      </c>
      <c r="E10" s="13" t="inlineStr">
        <is>
          <t>JBoss のデータソースは JCA の上に作られている（だから IJ〜 のメッセージが出る）</t>
        </is>
      </c>
    </row>
    <row r="11" ht="39" customHeight="1">
      <c r="B11" s="9" t="inlineStr">
        <is>
          <t>2006</t>
        </is>
      </c>
      <c r="C11" s="10" t="inlineStr">
        <is>
          <t>Red Hat が JBoss を買収</t>
        </is>
      </c>
      <c r="D11" s="10" t="inlineStr">
        <is>
          <t>企業向けにサポートされる JBoss（のちの EAP）へ</t>
        </is>
      </c>
      <c r="E11" s="10" t="inlineStr"/>
    </row>
    <row r="12" ht="39" customHeight="1">
      <c r="B12" s="12" t="inlineStr">
        <is>
          <t>2010 年ごろ</t>
        </is>
      </c>
      <c r="C12" s="13" t="inlineStr">
        <is>
          <t>IronJacamar（JCA 1.6 の実装）が登場</t>
        </is>
      </c>
      <c r="D12" s="13" t="inlineStr">
        <is>
          <t>新しいプール実装と統計情報</t>
        </is>
      </c>
      <c r="E12" s="13" t="inlineStr">
        <is>
          <t>今もプールの中身は IronJacamar（メッセージ ID の IJ はその頭文字）</t>
        </is>
      </c>
    </row>
    <row r="13" ht="39" customHeight="1">
      <c r="B13" s="9" t="inlineStr">
        <is>
          <t>2011</t>
        </is>
      </c>
      <c r="C13" s="10" t="inlineStr">
        <is>
          <t>JBoss AS 7（モジュール化・管理モデル・jboss-cli.sh）</t>
        </is>
      </c>
      <c r="D13" s="10" t="inlineStr">
        <is>
          <t>設定も状態も「管理モデル」に一本化。CLI で読めるように</t>
        </is>
      </c>
      <c r="E13" s="10" t="inlineStr">
        <is>
          <t>このコマンドの土台</t>
        </is>
      </c>
    </row>
    <row r="14" ht="22.5" customHeight="1">
      <c r="B14" s="12" t="inlineStr">
        <is>
          <t>2012</t>
        </is>
      </c>
      <c r="C14" s="13" t="inlineStr">
        <is>
          <t>JBoss EAP 6.0（AS 7 ベース）</t>
        </is>
      </c>
      <c r="D14" s="13" t="inlineStr">
        <is>
          <t>企業向けに CLI／管理 API が標準装備</t>
        </is>
      </c>
      <c r="E14" s="13" t="inlineStr">
        <is>
          <t>当時の管理ポートは 9999（native）</t>
        </is>
      </c>
    </row>
    <row r="15" ht="39" customHeight="1">
      <c r="B15" s="9" t="inlineStr">
        <is>
          <t>2013〜2014</t>
        </is>
      </c>
      <c r="C15" s="10" t="inlineStr">
        <is>
          <t>コミュニティ版が WildFly に改名（WildFly 8：2014 年 2 月）</t>
        </is>
      </c>
      <c r="D15" s="10" t="inlineStr">
        <is>
          <t>EAP の上流（アップストリーム）として毎年進化</t>
        </is>
      </c>
      <c r="E15" s="10" t="inlineStr">
        <is>
          <t>今回の検証は WildFly 41.0.1.Final で実施</t>
        </is>
      </c>
    </row>
    <row r="16" ht="55.5" customHeight="1">
      <c r="B16" s="12" t="inlineStr">
        <is>
          <t>2014〜2015</t>
        </is>
      </c>
      <c r="C16" s="13" t="inlineStr">
        <is>
          <t>Amazon ECS 発表（2014 年 11 月）・一般提供（2015 年 4 月）／Docker Compose 登場（2014 年）</t>
        </is>
      </c>
      <c r="D16" s="13" t="inlineStr">
        <is>
          <t>コンテナを並べて動かす時代へ</t>
        </is>
      </c>
      <c r="E16" s="13" t="inlineStr">
        <is>
          <t>フロント／バックを別コンテナで動かす形が一般的に</t>
        </is>
      </c>
    </row>
    <row r="17" ht="55.5" customHeight="1">
      <c r="B17" s="9" t="inlineStr">
        <is>
          <t>2016</t>
        </is>
      </c>
      <c r="C17" s="10" t="inlineStr">
        <is>
          <t>JBoss EAP 7.0（WildFly 10 ベース）</t>
        </is>
      </c>
      <c r="D17" s="10" t="inlineStr">
        <is>
          <t>管理ポートが 9990（HTTP）に統一。statistics-enabled が設定として保存できるように（WFLY-3084、WildFly 9 で対応）</t>
        </is>
      </c>
      <c r="E17" s="10" t="inlineStr">
        <is>
          <t>既定の接続先 remote+http://127.0.0.1:9990</t>
        </is>
      </c>
    </row>
    <row r="18" ht="39" customHeight="1">
      <c r="B18" s="12" t="inlineStr">
        <is>
          <t>2017</t>
        </is>
      </c>
      <c r="C18" s="13" t="inlineStr">
        <is>
          <t>AWS Fargate 発表（11 月）</t>
        </is>
      </c>
      <c r="D18" s="13" t="inlineStr">
        <is>
          <t>サーバー（EC2）を自分で持たずにコンテナを動かせる</t>
        </is>
      </c>
      <c r="E18" s="13" t="inlineStr">
        <is>
          <t>「SSH でホストに入って docker exec」ができなくなった</t>
        </is>
      </c>
    </row>
    <row r="19" ht="39" customHeight="1">
      <c r="B19" s="9" t="inlineStr">
        <is>
          <t>2017〜2019</t>
        </is>
      </c>
      <c r="C19" s="10" t="inlineStr">
        <is>
          <t>Java EE が Eclipse 財団へ移り Jakarta EE に</t>
        </is>
      </c>
      <c r="D19" s="10" t="inlineStr">
        <is>
          <t>パッケージ名が javax.* から jakarta.* へ</t>
        </is>
      </c>
      <c r="E19" s="10" t="inlineStr">
        <is>
          <t>EAP 8 ではエラーが jakarta.resource.ResourceException と表示される</t>
        </is>
      </c>
    </row>
    <row r="20" ht="22.5" customHeight="1">
      <c r="B20" s="12" t="inlineStr">
        <is>
          <t>2021 年 3 月</t>
        </is>
      </c>
      <c r="C20" s="13" t="inlineStr">
        <is>
          <t>ECS Exec 登場</t>
        </is>
      </c>
      <c r="D20" s="13" t="inlineStr">
        <is>
          <t>Fargate でもコンテナの中でコマンドを打てる</t>
        </is>
      </c>
      <c r="E20" s="13" t="inlineStr">
        <is>
          <t>今回の前提そのもの</t>
        </is>
      </c>
    </row>
    <row r="21" ht="22.5" customHeight="1">
      <c r="B21" s="9" t="inlineStr">
        <is>
          <t>2021</t>
        </is>
      </c>
      <c r="C21" s="10" t="inlineStr">
        <is>
          <t>JBoss EAP 7.4</t>
        </is>
      </c>
      <c r="D21" s="10" t="inlineStr">
        <is>
          <t>EAP 7 系の最終マイナー版</t>
        </is>
      </c>
      <c r="E21" s="10" t="inlineStr">
        <is>
          <t>今も多くの現場で稼働</t>
        </is>
      </c>
    </row>
    <row r="22" ht="55.5" customHeight="1">
      <c r="B22" s="12" t="inlineStr">
        <is>
          <t>2022〜2023</t>
        </is>
      </c>
      <c r="C22" s="13" t="inlineStr">
        <is>
          <t>Docker Compose V2（docker compose）。V1（docker-compose）は 2023 年 6 月でサポート終了</t>
        </is>
      </c>
      <c r="D22" s="13" t="inlineStr">
        <is>
          <t>Go で書き直され Docker CLI に統合</t>
        </is>
      </c>
      <c r="E22" s="13" t="inlineStr">
        <is>
          <t>本書は docker compose（スペース区切り）で表記</t>
        </is>
      </c>
    </row>
    <row r="23" ht="39" customHeight="1">
      <c r="B23" s="9" t="inlineStr">
        <is>
          <t>2024 年 2 月</t>
        </is>
      </c>
      <c r="C23" s="10" t="inlineStr">
        <is>
          <t>JBoss EAP 8.0 一般提供（Jakarta EE 10）</t>
        </is>
      </c>
      <c r="D23" s="10" t="inlineStr">
        <is>
          <t>新世代。コンテナ用イメージの JBOSS_HOME は /opt/server</t>
        </is>
      </c>
      <c r="E23" s="10" t="inlineStr">
        <is>
          <t>スクリプトが /opt/server を最初に探す理由</t>
        </is>
      </c>
    </row>
    <row r="24" ht="39" customHeight="1">
      <c r="B24" s="12" t="inlineStr">
        <is>
          <t>2025 年 6 月</t>
        </is>
      </c>
      <c r="C24" s="13" t="inlineStr">
        <is>
          <t>EAP 7.4 のフルサポート終了 → 延長サポート（ELS、2027 年 10 月まで）</t>
        </is>
      </c>
      <c r="D24" s="13" t="inlineStr">
        <is>
          <t>8 系への移行がすすむ</t>
        </is>
      </c>
      <c r="E24" s="13" t="inlineStr">
        <is>
          <t>7.4／8.x のどちらでも同じコマンドで動くように設計</t>
        </is>
      </c>
    </row>
    <row r="25" ht="55.5" customHeight="1">
      <c r="B25" s="9" t="inlineStr">
        <is>
          <t>2025 年 9 月</t>
        </is>
      </c>
      <c r="C25" s="10" t="inlineStr">
        <is>
          <t>EAP 8.1 提供開始（Red Hat Developer ブログ 2025/9/2）／ECS Exec が AWS マネジメントコンソールから利用可能に（2025/9/4）</t>
        </is>
      </c>
      <c r="D25" s="10" t="inlineStr">
        <is>
          <t>ブラウザ（CloudShell）からも中に入れる</t>
        </is>
      </c>
      <c r="E25" s="10" t="inlineStr">
        <is>
          <t>手順 04 にコンソールからの入り方を記載</t>
        </is>
      </c>
    </row>
    <row r="26" ht="39" customHeight="1">
      <c r="B26" s="12" t="inlineStr">
        <is>
          <t>2026</t>
        </is>
      </c>
      <c r="C26" s="13" t="inlineStr">
        <is>
          <t>EAP 8.0 は Update 12 で更新終了と案内され、8.1 への移行が推奨</t>
        </is>
      </c>
      <c r="D26" s="13" t="inlineStr">
        <is>
          <t>最新の更新は 8.1 系で提供</t>
        </is>
      </c>
      <c r="E26" s="13" t="inlineStr">
        <is>
          <t>8.1 でも同じ管理モデル（datasources サブシステム）</t>
        </is>
      </c>
    </row>
    <row r="27" ht="8" customHeight="1"/>
    <row r="28" ht="6" customHeight="1"/>
    <row r="29" ht="24" customHeight="1">
      <c r="B29" s="15" t="inlineStr">
        <is>
          <t>■ なぜプールが生まれたのか</t>
        </is>
      </c>
      <c r="C29" s="16" t="n"/>
      <c r="D29" s="16" t="n"/>
      <c r="E29" s="16" t="n"/>
    </row>
    <row r="30" ht="4" customHeight="1"/>
    <row r="31" ht="57.5" customHeight="1">
      <c r="B31" s="17" t="inlineStr">
        <is>
          <t>データベースに新しくつなぐには、ネットワークの接続（TCP）、暗号化（TLS）、ログイン（認証）、セッションの準備…と、何往復もの手続きが要ります。1 回のリクエストのたびにこれをやると、とても遅くなり、データベースにも負担がかかります。そこで「一度つないだ接続を取っておいて使い回す」＝コネクションプールが生まれました。</t>
        </is>
      </c>
    </row>
    <row r="32" ht="4" customHeight="1"/>
    <row r="33" ht="6" customHeight="1"/>
    <row r="34" ht="24" customHeight="1">
      <c r="B34" s="15" t="inlineStr">
        <is>
          <t>■ JBoss とプール</t>
        </is>
      </c>
      <c r="C34" s="16" t="n"/>
      <c r="D34" s="16" t="n"/>
      <c r="E34" s="16" t="n"/>
    </row>
    <row r="35" ht="4" customHeight="1"/>
    <row r="36" ht="57.5" customHeight="1">
      <c r="B36" s="17" t="inlineStr">
        <is>
          <t>JBoss のデータソースは、JCA（Java コネクタ・アーキテクチャ）という標準のしくみの上に作られています。プールの本体は IronJacamar というライブラリで、エラーメッセージの「IJ000655」などの IJ はその頭文字です。JBoss AS 7（2011 年）以降は、プールの設定も「いまの状態（統計）」も、管理モデルという 1 つの木構造にまとめられ、jboss-cli.sh で読み書きできるようになりました。jbpool はこの木を読みに行きます。</t>
        </is>
      </c>
    </row>
    <row r="37" ht="4" customHeight="1"/>
    <row r="38" ht="6" customHeight="1"/>
    <row r="39" ht="24" customHeight="1">
      <c r="B39" s="15" t="inlineStr">
        <is>
          <t>■ コンテナ時代の新しい悩み</t>
        </is>
      </c>
      <c r="C39" s="16" t="n"/>
      <c r="D39" s="16" t="n"/>
      <c r="E39" s="16" t="n"/>
    </row>
    <row r="40" ht="4" customHeight="1"/>
    <row r="41" ht="57.5" customHeight="1">
      <c r="B41" s="17" t="inlineStr">
        <is>
          <t>ECS や Fargate では、サーバーに SSH で入るという昔ながらの方法が使えません。2021 年の ECS Exec の登場で「コンテナの中でコマンドを打つ」ことができるようになり、2025 年 9 月にはマネジメントコンソールからも入れるようになりました。一方、CloudWatch などの外側の監視では、JBoss の中の「貸し出し中・待ち・タイムアウト」は見えません。そこで「中に入って、JBoss 自身に聞く」この方法が必要になります。</t>
        </is>
      </c>
    </row>
    <row r="42" ht="4" customHeight="1"/>
  </sheetData>
  <mergeCells count="9">
    <mergeCell ref="B31:E31"/>
    <mergeCell ref="B41:E41"/>
    <mergeCell ref="B1:E1"/>
    <mergeCell ref="B4:E4"/>
    <mergeCell ref="B29:E29"/>
    <mergeCell ref="B39:E39"/>
    <mergeCell ref="B2:E2"/>
    <mergeCell ref="B34:E34"/>
    <mergeCell ref="B36:E36"/>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fitToPage="1"/>
  </sheetPr>
  <dimension ref="B1:E33"/>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0" customWidth="1" min="2" max="2"/>
    <col width="40" customWidth="1" min="3" max="3"/>
    <col width="52" customWidth="1" min="4" max="4"/>
    <col width="10" customWidth="1" min="5" max="5"/>
  </cols>
  <sheetData>
    <row r="1" ht="34" customHeight="1">
      <c r="B1" s="1" t="inlineStr">
        <is>
          <t>このコマンドが必要になった経緯</t>
        </is>
      </c>
      <c r="C1" s="2" t="n"/>
      <c r="D1" s="2" t="n"/>
      <c r="E1" s="2" t="n"/>
    </row>
    <row r="2" ht="18" customHeight="1">
      <c r="B2" s="3" t="inlineStr">
        <is>
          <t>JBoss EAP コネクションプール確認コマンド「jbpool」解説書　｜　2026-10-17</t>
        </is>
      </c>
      <c r="C2" s="4" t="n"/>
      <c r="D2" s="4" t="n"/>
      <c r="E2" s="4" t="n"/>
    </row>
    <row r="3" ht="10" customHeight="1"/>
    <row r="4" ht="29.325" customHeight="1">
      <c r="B4" s="5" t="inlineStr">
        <is>
          <t>「なんだか遅い」「ときどき 30 秒でエラーになる」――その裏で何が起きているのかを、順番に見ていきます。</t>
        </is>
      </c>
      <c r="C4" s="6" t="n"/>
      <c r="D4" s="6" t="n"/>
      <c r="E4" s="6" t="n"/>
    </row>
    <row r="5" ht="8" customHeight="1"/>
    <row r="6" ht="6" customHeight="1"/>
    <row r="7" ht="24" customHeight="1">
      <c r="B7" s="15" t="inlineStr">
        <is>
          <t>■ あふれの連鎖（よくある障害のすじがき）</t>
        </is>
      </c>
      <c r="C7" s="16" t="n"/>
      <c r="D7" s="16" t="n"/>
      <c r="E7" s="16" t="n"/>
    </row>
    <row r="8" ht="4" customHeight="1"/>
    <row r="9" ht="20.5" customHeight="1">
      <c r="B9" s="17" t="inlineStr">
        <is>
          <t>・① データベースが遅くなる（重い SQL、ロック待ち、フェイルオーバー、ネットワークの遅れ など）。</t>
        </is>
      </c>
    </row>
    <row r="10" ht="20.5" customHeight="1">
      <c r="B10" s="17" t="inlineStr">
        <is>
          <t>・② 1 本の接続を返すまでの時間が長くなり、プールの「貸し出し中」が増える。</t>
        </is>
      </c>
    </row>
    <row r="11" ht="20.5" customHeight="1">
      <c r="B11" s="17" t="inlineStr">
        <is>
          <t>・③ プールが満杯（InUseCount = max-pool-size）になり、次のリクエストは列に並ぶ（あふれ）。</t>
        </is>
      </c>
    </row>
    <row r="12" ht="20.5" customHeight="1">
      <c r="B12" s="17" t="inlineStr">
        <is>
          <t>・④ 待ち時間（既定 30 秒）を超えたリクエストは IJ000655 → IJ000453 のエラーで失敗する。</t>
        </is>
      </c>
    </row>
    <row r="13" ht="20.5" customHeight="1">
      <c r="B13" s="17" t="inlineStr">
        <is>
          <t>・⑤ バックの処理を待つフロントのスレッドも動けなくなり、フロントでも行列が伸びる。</t>
        </is>
      </c>
    </row>
    <row r="14" ht="20.5" customHeight="1">
      <c r="B14" s="17" t="inlineStr">
        <is>
          <t>・⑥ ヘルスチェックに失敗してタスクが入れ替わると、証拠（そのときの状態）が消えてしまう。</t>
        </is>
      </c>
    </row>
    <row r="15" ht="4" customHeight="1"/>
    <row r="16" ht="6" customHeight="1"/>
    <row r="17" ht="24" customHeight="1">
      <c r="B17" s="15" t="inlineStr">
        <is>
          <t>■ 困りごとと、このコマンドでの解決</t>
        </is>
      </c>
      <c r="C17" s="16" t="n"/>
      <c r="D17" s="16" t="n"/>
      <c r="E17" s="16" t="n"/>
    </row>
    <row r="18" ht="4" customHeight="1"/>
    <row r="19" ht="22.5" customHeight="1">
      <c r="B19" s="7" t="inlineStr">
        <is>
          <t>困りごと</t>
        </is>
      </c>
      <c r="C19" s="7" t="inlineStr">
        <is>
          <t>ひと昔前のやり方</t>
        </is>
      </c>
      <c r="D19" s="7" t="inlineStr">
        <is>
          <t>いま（jbpool）</t>
        </is>
      </c>
      <c r="E19" s="8" t="n"/>
    </row>
    <row r="20" ht="39" customHeight="1">
      <c r="B20" s="9" t="inlineStr">
        <is>
          <t>サーバーの中を見たい</t>
        </is>
      </c>
      <c r="C20" s="10" t="inlineStr">
        <is>
          <t>SSH でサーバーにログイン</t>
        </is>
      </c>
      <c r="D20" s="10" t="inlineStr">
        <is>
          <t>ECS Exec／docker compose exec でコンテナに入って実行（Fargate には SSH 先がない）</t>
        </is>
      </c>
      <c r="E20" s="11" t="n"/>
    </row>
    <row r="21" ht="39" customHeight="1">
      <c r="B21" s="12" t="inlineStr">
        <is>
          <t>プールの中身を知りたい</t>
        </is>
      </c>
      <c r="C21" s="13" t="inlineStr">
        <is>
          <t>管理コンソール（Web 画面）を目で見る</t>
        </is>
      </c>
      <c r="D21" s="13" t="inlineStr">
        <is>
          <t>JBoss CLI を文字で実行。記録・比較・共有がしやすい（コンテナ版 EAP には管理コンソールが含まれないことがある）</t>
        </is>
      </c>
      <c r="E21" s="14" t="n"/>
    </row>
    <row r="22" ht="39" customHeight="1">
      <c r="B22" s="9" t="inlineStr">
        <is>
          <t>外側の監視では足りない</t>
        </is>
      </c>
      <c r="C22" s="10" t="inlineStr">
        <is>
          <t>CloudWatch で CPU・メモリ、RDS で接続総数まで</t>
        </is>
      </c>
      <c r="D22" s="10" t="inlineStr">
        <is>
          <t>JBoss の中の「貸し出し中・待ち行列・タイムアウト回数・待っているスレッド名」まで見える</t>
        </is>
      </c>
      <c r="E22" s="11" t="n"/>
    </row>
    <row r="23" ht="39" customHeight="1">
      <c r="B23" s="12" t="inlineStr">
        <is>
          <t>「いつ直るの？」に答えたい</t>
        </is>
      </c>
      <c r="C23" s="13" t="inlineStr">
        <is>
          <t>経験と勘</t>
        </is>
      </c>
      <c r="D23" s="13" t="inlineStr">
        <is>
          <t>設定値（待ち時間・片付け時間）と観測時刻から「◯時◯分までに解消」を計算して表示</t>
        </is>
      </c>
      <c r="E23" s="14" t="n"/>
    </row>
    <row r="24" ht="39" customHeight="1">
      <c r="B24" s="9" t="inlineStr">
        <is>
          <t>フロントとバックのどちらが原因？</t>
        </is>
      </c>
      <c r="C24" s="10" t="inlineStr">
        <is>
          <t>片方だけ見て誤解</t>
        </is>
      </c>
      <c r="D24" s="10" t="inlineStr">
        <is>
          <t>同じコマンドを両方で実行。同じタスク内で管理ポートがずれていても（port-offset）自動で判別</t>
        </is>
      </c>
      <c r="E24" s="11" t="n"/>
    </row>
    <row r="25" ht="39" customHeight="1">
      <c r="B25" s="12" t="inlineStr">
        <is>
          <t>障害が終わると証拠が消える</t>
        </is>
      </c>
      <c r="C25" s="13" t="inlineStr">
        <is>
          <t>タスクが入れ替わって再現しない</t>
        </is>
      </c>
      <c r="D25" s="13" t="inlineStr">
        <is>
          <t>watch／csv で推移を残す。threads で「どのコードで待っているか」を残す</t>
        </is>
      </c>
      <c r="E25" s="14" t="n"/>
    </row>
    <row r="26" ht="39" customHeight="1">
      <c r="B26" s="9" t="inlineStr">
        <is>
          <t>統計が 0 のまま</t>
        </is>
      </c>
      <c r="C26" s="10" t="inlineStr">
        <is>
          <t>設定ミスに気づかない</t>
        </is>
      </c>
      <c r="D26" s="10" t="inlineStr">
        <is>
          <t>STATS-OFF と表示し、enable-stats で（再起動なしで）すぐ ON にできる</t>
        </is>
      </c>
      <c r="E26" s="11" t="n"/>
    </row>
    <row r="27" ht="8" customHeight="1"/>
    <row r="28" ht="6" customHeight="1"/>
    <row r="29" ht="24" customHeight="1">
      <c r="B29" s="15" t="inlineStr">
        <is>
          <t>■ 「タイムアウトで解消する予定の時刻」がなぜ大事か</t>
        </is>
      </c>
      <c r="C29" s="16" t="n"/>
      <c r="D29" s="16" t="n"/>
      <c r="E29" s="16" t="n"/>
    </row>
    <row r="30" ht="4" customHeight="1"/>
    <row r="31" ht="57.5" customHeight="1">
      <c r="B31" s="17" t="inlineStr">
        <is>
          <t>障害対応では「待てば直るのか、手を打つ（再起動・スケールアウト・SQL 停止）べきなのか」をすばやく決める必要があります。jbpool は、待っているリクエストは『遅くとも何時何分までに（接続を得るか、エラーで）いなくなるか』、余っている接続は『何時何分ごろ片付けられるか』を、JBoss の設定値と IronJacamar の実際の動き（ソースコードで確認）から計算して表示します。</t>
        </is>
      </c>
    </row>
    <row r="32" ht="4" customHeight="1"/>
    <row r="33" ht="59.5" customHeight="1">
      <c r="B33" s="18" t="inlineStr">
        <is>
          <t>※ このコマンドは読み取り専用です（enable-stats／disable-stats を除く）。プールの設定（max-pool-size など）を変える命令は含みません。WildFly 41 で確認したところ、プール設定の変更は reload（再読み込み）が必要で、本番中に気軽に行うものではありません。</t>
        </is>
      </c>
      <c r="C33" s="19" t="n"/>
      <c r="D33" s="19" t="n"/>
      <c r="E33" s="19" t="n"/>
    </row>
    <row r="34" ht="8" customHeight="1"/>
  </sheetData>
  <mergeCells count="22">
    <mergeCell ref="D20:E20"/>
    <mergeCell ref="B9:E9"/>
    <mergeCell ref="D19:E19"/>
    <mergeCell ref="B33:E33"/>
    <mergeCell ref="D22:E22"/>
    <mergeCell ref="D21:E21"/>
    <mergeCell ref="B4:E4"/>
    <mergeCell ref="B7:E7"/>
    <mergeCell ref="B31:E31"/>
    <mergeCell ref="B12:E12"/>
    <mergeCell ref="B11:E11"/>
    <mergeCell ref="B2:E2"/>
    <mergeCell ref="B14:E14"/>
    <mergeCell ref="D25:E25"/>
    <mergeCell ref="B17:E17"/>
    <mergeCell ref="B1:E1"/>
    <mergeCell ref="D24:E24"/>
    <mergeCell ref="B13:E13"/>
    <mergeCell ref="D23:E23"/>
    <mergeCell ref="B29:E29"/>
    <mergeCell ref="B10:E10"/>
    <mergeCell ref="D26:E26"/>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5.xml><?xml version="1.0" encoding="utf-8"?>
<worksheet xmlns="http://schemas.openxmlformats.org/spreadsheetml/2006/main">
  <sheetPr>
    <tabColor rgb="00262626"/>
    <outlinePr summaryBelow="1" summaryRight="1"/>
    <pageSetUpPr fitToPage="1"/>
  </sheetPr>
  <dimension ref="B1:E132"/>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0" customWidth="1" min="2" max="2"/>
    <col width="40" customWidth="1" min="3" max="3"/>
    <col width="52" customWidth="1" min="4" max="4"/>
    <col width="10" customWidth="1" min="5" max="5"/>
    <col width="13" customWidth="1" min="6" max="6"/>
    <col width="13" customWidth="1" min="7" max="7"/>
    <col width="13" customWidth="1" min="8" max="8"/>
    <col width="13" customWidth="1" min="9" max="9"/>
    <col width="13" customWidth="1" min="10" max="10"/>
    <col width="13" customWidth="1" min="11" max="11"/>
  </cols>
  <sheetData>
    <row r="1" ht="34" customHeight="1">
      <c r="B1" s="1" t="inlineStr">
        <is>
          <t>使い方 ― 1 歩ずつ（ECS と Docker Compose）</t>
        </is>
      </c>
      <c r="C1" s="2" t="n"/>
      <c r="D1" s="2" t="n"/>
      <c r="E1" s="2" t="n"/>
    </row>
    <row r="2" ht="18" customHeight="1">
      <c r="B2" s="3" t="inlineStr">
        <is>
          <t>JBoss EAP コネクションプール確認コマンド「jbpool」解説書　｜　2026-10-17</t>
        </is>
      </c>
      <c r="C2" s="4" t="n"/>
      <c r="D2" s="4" t="n"/>
      <c r="E2" s="4" t="n"/>
    </row>
    <row r="3" ht="10" customHeight="1"/>
    <row r="4" ht="46.65" customHeight="1">
      <c r="B4" s="5" t="inlineStr">
        <is>
          <t>どちらの環境でも「コンテナに入る → jbpool.sh を貼る（または流し込む）→ 結果を読む」の 3 段階です。フロントとバックで同じことを 2 回やります。</t>
        </is>
      </c>
      <c r="C4" s="6" t="n"/>
      <c r="D4" s="6" t="n"/>
      <c r="E4" s="6" t="n"/>
    </row>
    <row r="5" ht="8" customHeight="1"/>
    <row r="6" ht="6" customHeight="1"/>
    <row r="7" ht="24" customHeight="1">
      <c r="B7" s="15" t="inlineStr">
        <is>
          <t>■ A. ECS（AWS）で使う ― 事前チェック</t>
        </is>
      </c>
      <c r="C7" s="16" t="n"/>
      <c r="D7" s="16" t="n"/>
      <c r="E7" s="16" t="n"/>
    </row>
    <row r="8" ht="4" customHeight="1"/>
    <row r="9" ht="22.5" customHeight="1">
      <c r="B9" s="7" t="inlineStr">
        <is>
          <t>チェック項目</t>
        </is>
      </c>
      <c r="C9" s="7" t="inlineStr">
        <is>
          <t>内容</t>
        </is>
      </c>
      <c r="D9" s="7" t="inlineStr">
        <is>
          <t>確認・設定方法</t>
        </is>
      </c>
      <c r="E9" s="8" t="n"/>
    </row>
    <row r="10" ht="39" customHeight="1">
      <c r="B10" s="9" t="inlineStr">
        <is>
          <t>手元の道具</t>
        </is>
      </c>
      <c r="C10" s="10" t="inlineStr">
        <is>
          <t>AWS CLI v2 と Session Manager プラグイン</t>
        </is>
      </c>
      <c r="D10" s="10" t="inlineStr">
        <is>
          <t>aws --version／session-manager-plugin のインストール</t>
        </is>
      </c>
      <c r="E10" s="11" t="n"/>
    </row>
    <row r="11" ht="39" customHeight="1">
      <c r="B11" s="12" t="inlineStr">
        <is>
          <t>ECS Exec の有効化</t>
        </is>
      </c>
      <c r="C11" s="13" t="inlineStr">
        <is>
          <t>タスクの enableExecuteCommand が true</t>
        </is>
      </c>
      <c r="D11" s="13" t="inlineStr">
        <is>
          <t>サービス更新時に --enable-execute-command（新しく起動したタスクから有効）</t>
        </is>
      </c>
      <c r="E11" s="14" t="n"/>
    </row>
    <row r="12" ht="55.5" customHeight="1">
      <c r="B12" s="9" t="inlineStr">
        <is>
          <t>タスクロールの権限</t>
        </is>
      </c>
      <c r="C12" s="10" t="inlineStr">
        <is>
          <t>ssmmessages:CreateControlChannel／CreateDataChannel／OpenControlChannel／OpenDataChannel</t>
        </is>
      </c>
      <c r="D12" s="10" t="inlineStr">
        <is>
          <t>IAM のタスクロールに付与</t>
        </is>
      </c>
      <c r="E12" s="11" t="n"/>
    </row>
    <row r="13" ht="39" customHeight="1">
      <c r="B13" s="12" t="inlineStr">
        <is>
          <t>（推奨）init プロセス</t>
        </is>
      </c>
      <c r="C13" s="13" t="inlineStr">
        <is>
          <t>initProcessEnabled=true（SSM エージェントの子プロセス整理）</t>
        </is>
      </c>
      <c r="D13" s="13" t="inlineStr">
        <is>
          <t>タスク定義の linuxParameters</t>
        </is>
      </c>
      <c r="E13" s="14" t="n"/>
    </row>
    <row r="14" ht="22.5" customHeight="1">
      <c r="B14" s="9" t="inlineStr">
        <is>
          <t>困ったとき</t>
        </is>
      </c>
      <c r="C14" s="10" t="inlineStr">
        <is>
          <t>amazon-ecs-exec-checker で一括診断</t>
        </is>
      </c>
      <c r="D14" s="10" t="inlineStr">
        <is>
          <t>GitHub: aws-containers/amazon-ecs-exec-checker</t>
        </is>
      </c>
      <c r="E14" s="11" t="n"/>
    </row>
    <row r="15" ht="55.5" customHeight="1">
      <c r="B15" s="12" t="inlineStr">
        <is>
          <t>ブラウザから入る</t>
        </is>
      </c>
      <c r="C15" s="13" t="inlineStr">
        <is>
          <t>2025/9 から、タスク詳細 → コンテナを選ぶ →「Connect」で CloudShell が開く</t>
        </is>
      </c>
      <c r="D15" s="13" t="inlineStr">
        <is>
          <t>ローカルにツールが無いときに便利</t>
        </is>
      </c>
      <c r="E15" s="14" t="n"/>
    </row>
    <row r="16" ht="8" customHeight="1"/>
    <row r="17" ht="6" customHeight="1"/>
    <row r="18" ht="24" customHeight="1">
      <c r="B18" s="15" t="inlineStr">
        <is>
          <t>■ A-1〜A-3. タスクを選んでフロントに入る（bash）</t>
        </is>
      </c>
      <c r="C18" s="16" t="n"/>
      <c r="D18" s="16" t="n"/>
      <c r="E18" s="16" t="n"/>
    </row>
    <row r="19" ht="4" customHeight="1"/>
    <row r="20" ht="18" customHeight="1">
      <c r="B20" s="20" t="inlineStr">
        <is>
          <t>▼ bash（Mac／Linux／WSL／Git Bash）　（コピーは B 列のコード行だけを縦に選択）</t>
        </is>
      </c>
      <c r="C20" s="4" t="n"/>
      <c r="D20" s="4" t="n"/>
      <c r="E20" s="4" t="n"/>
    </row>
    <row r="21" ht="15.75" customHeight="1">
      <c r="B21" s="21" t="inlineStr">
        <is>
          <t># 0) 自分の環境に合わせて変える</t>
        </is>
      </c>
      <c r="C21" s="22" t="n"/>
      <c r="D21" s="22" t="n"/>
      <c r="E21" s="23" t="n"/>
    </row>
    <row r="22" ht="15.75" customHeight="1">
      <c r="B22" s="24" t="inlineStr">
        <is>
          <t>REGION=ap-northeast-1; CLUSTER=my-cluster; SERVICE=my-service</t>
        </is>
      </c>
      <c r="C22" s="25" t="n"/>
      <c r="D22" s="25" t="n"/>
      <c r="E22" s="26" t="n"/>
    </row>
    <row r="23" ht="15.75" customHeight="1">
      <c r="B23" s="24" t="n"/>
      <c r="C23" s="25" t="n"/>
      <c r="D23" s="25" t="n"/>
      <c r="E23" s="26" t="n"/>
    </row>
    <row r="24" ht="15.75" customHeight="1">
      <c r="B24" s="24" t="inlineStr">
        <is>
          <t># 1) 動いているタスクを 1 つ選ぶ</t>
        </is>
      </c>
      <c r="C24" s="25" t="n"/>
      <c r="D24" s="25" t="n"/>
      <c r="E24" s="26" t="n"/>
    </row>
    <row r="25" ht="15.75" customHeight="1">
      <c r="B25" s="24" t="inlineStr">
        <is>
          <t>TASK=$(aws ecs list-tasks --region "$REGION" --cluster "$CLUSTER" --service-name "$SERVICE" --desired-status RUNNING --query 'taskArns[0]' --output text)</t>
        </is>
      </c>
      <c r="C25" s="25" t="n"/>
      <c r="D25" s="25" t="n"/>
      <c r="E25" s="26" t="n"/>
    </row>
    <row r="26" ht="15.75" customHeight="1">
      <c r="B26" s="24" t="inlineStr">
        <is>
          <t>echo "$TASK"</t>
        </is>
      </c>
      <c r="C26" s="25" t="n"/>
      <c r="D26" s="25" t="n"/>
      <c r="E26" s="26" t="n"/>
    </row>
    <row r="27" ht="15.75" customHeight="1">
      <c r="B27" s="24" t="n"/>
      <c r="C27" s="25" t="n"/>
      <c r="D27" s="25" t="n"/>
      <c r="E27" s="26" t="n"/>
    </row>
    <row r="28" ht="15.75" customHeight="1">
      <c r="B28" s="24" t="inlineStr">
        <is>
          <t># 2) ECS Exec が使えるか・コンテナ名は何か（agent が RUNNING ならOK）</t>
        </is>
      </c>
      <c r="C28" s="25" t="n"/>
      <c r="D28" s="25" t="n"/>
      <c r="E28" s="26" t="n"/>
    </row>
    <row r="29" ht="15.75" customHeight="1">
      <c r="B29" s="24" t="inlineStr">
        <is>
          <t>aws ecs describe-tasks --region "$REGION" --cluster "$CLUSTER" --tasks "$TASK" --query 'tasks[0].{exec:enableExecuteCommand,containers:containers[].{name:name,agent:managedAgents[0].lastStatus}}' --output json</t>
        </is>
      </c>
      <c r="C29" s="25" t="n"/>
      <c r="D29" s="25" t="n"/>
      <c r="E29" s="26" t="n"/>
    </row>
    <row r="30" ht="15.75" customHeight="1">
      <c r="B30" s="24" t="n"/>
      <c r="C30" s="25" t="n"/>
      <c r="D30" s="25" t="n"/>
      <c r="E30" s="26" t="n"/>
    </row>
    <row r="31" ht="15.75" customHeight="1">
      <c r="B31" s="24" t="inlineStr">
        <is>
          <t># 3) フロントのコンテナに入る（bash が無いイメージなら "/bin/sh"）</t>
        </is>
      </c>
      <c r="C31" s="25" t="n"/>
      <c r="D31" s="25" t="n"/>
      <c r="E31" s="26" t="n"/>
    </row>
    <row r="32" ht="15.75" customHeight="1">
      <c r="B32" s="27" t="inlineStr">
        <is>
          <t>aws ecs execute-command --region "$REGION" --cluster "$CLUSTER" --task "$TASK" --container front --interactive --command "/bin/bash"</t>
        </is>
      </c>
      <c r="C32" s="28" t="n"/>
      <c r="D32" s="28" t="n"/>
      <c r="E32" s="29" t="n"/>
    </row>
    <row r="33" ht="8" customHeight="1"/>
    <row r="34" ht="6" customHeight="1"/>
    <row r="35" ht="24" customHeight="1">
      <c r="B35" s="15" t="inlineStr">
        <is>
          <t>■ A-1〜A-3. 同じことを PowerShell で</t>
        </is>
      </c>
      <c r="C35" s="16" t="n"/>
      <c r="D35" s="16" t="n"/>
      <c r="E35" s="16" t="n"/>
    </row>
    <row r="36" ht="4" customHeight="1"/>
    <row r="37" ht="18" customHeight="1">
      <c r="B37" s="20" t="inlineStr">
        <is>
          <t>▼ PowerShell（Windows）　（コピーは B 列のコード行だけを縦に選択）</t>
        </is>
      </c>
      <c r="C37" s="4" t="n"/>
      <c r="D37" s="4" t="n"/>
      <c r="E37" s="4" t="n"/>
    </row>
    <row r="38" ht="15.75" customHeight="1">
      <c r="B38" s="21" t="inlineStr">
        <is>
          <t># 0) 自分の環境に合わせて変える（Windows PowerShell 5.1 / PowerShell 7 共通）</t>
        </is>
      </c>
      <c r="C38" s="22" t="n"/>
      <c r="D38" s="22" t="n"/>
      <c r="E38" s="23" t="n"/>
    </row>
    <row r="39" ht="15.75" customHeight="1">
      <c r="B39" s="24" t="inlineStr">
        <is>
          <t>$Region = "ap-northeast-1"; $Cluster = "my-cluster"; $Service = "my-service"</t>
        </is>
      </c>
      <c r="C39" s="25" t="n"/>
      <c r="D39" s="25" t="n"/>
      <c r="E39" s="26" t="n"/>
    </row>
    <row r="40" ht="15.75" customHeight="1">
      <c r="B40" s="24" t="n"/>
      <c r="C40" s="25" t="n"/>
      <c r="D40" s="25" t="n"/>
      <c r="E40" s="26" t="n"/>
    </row>
    <row r="41" ht="15.75" customHeight="1">
      <c r="B41" s="24" t="inlineStr">
        <is>
          <t># 1) 動いているタスクを 1 つ選ぶ</t>
        </is>
      </c>
      <c r="C41" s="25" t="n"/>
      <c r="D41" s="25" t="n"/>
      <c r="E41" s="26" t="n"/>
    </row>
    <row r="42" ht="15.75" customHeight="1">
      <c r="B42" s="24" t="inlineStr">
        <is>
          <t>$Task = aws ecs list-tasks --region $Region --cluster $Cluster --service-name $Service --desired-status RUNNING --query "taskArns[0]" --output text</t>
        </is>
      </c>
      <c r="C42" s="25" t="n"/>
      <c r="D42" s="25" t="n"/>
      <c r="E42" s="26" t="n"/>
    </row>
    <row r="43" ht="15.75" customHeight="1">
      <c r="B43" s="24" t="inlineStr">
        <is>
          <t>$Task</t>
        </is>
      </c>
      <c r="C43" s="25" t="n"/>
      <c r="D43" s="25" t="n"/>
      <c r="E43" s="26" t="n"/>
    </row>
    <row r="44" ht="15.75" customHeight="1">
      <c r="B44" s="24" t="n"/>
      <c r="C44" s="25" t="n"/>
      <c r="D44" s="25" t="n"/>
      <c r="E44" s="26" t="n"/>
    </row>
    <row r="45" ht="15.75" customHeight="1">
      <c r="B45" s="24" t="inlineStr">
        <is>
          <t># 2) ECS Exec が使えるか・コンテナ名は何か</t>
        </is>
      </c>
      <c r="C45" s="25" t="n"/>
      <c r="D45" s="25" t="n"/>
      <c r="E45" s="26" t="n"/>
    </row>
    <row r="46" ht="15.75" customHeight="1">
      <c r="B46" s="24" t="inlineStr">
        <is>
          <t>aws ecs describe-tasks --region $Region --cluster $Cluster --tasks $Task --query "tasks[0].{exec:enableExecuteCommand,containers:containers[].{name:name,agent:managedAgents[0].lastStatus}}" --output json</t>
        </is>
      </c>
      <c r="C46" s="25" t="n"/>
      <c r="D46" s="25" t="n"/>
      <c r="E46" s="26" t="n"/>
    </row>
    <row r="47" ht="15.75" customHeight="1">
      <c r="B47" s="24" t="n"/>
      <c r="C47" s="25" t="n"/>
      <c r="D47" s="25" t="n"/>
      <c r="E47" s="26" t="n"/>
    </row>
    <row r="48" ht="15.75" customHeight="1">
      <c r="B48" s="24" t="inlineStr">
        <is>
          <t># 3) フロントのコンテナに入る</t>
        </is>
      </c>
      <c r="C48" s="25" t="n"/>
      <c r="D48" s="25" t="n"/>
      <c r="E48" s="26" t="n"/>
    </row>
    <row r="49" ht="15.75" customHeight="1">
      <c r="B49" s="27" t="inlineStr">
        <is>
          <t>aws ecs execute-command --region $Region --cluster $Cluster --task $Task --container front --interactive --command "/bin/bash"</t>
        </is>
      </c>
      <c r="C49" s="28" t="n"/>
      <c r="D49" s="28" t="n"/>
      <c r="E49" s="29" t="n"/>
    </row>
    <row r="50" ht="8" customHeight="1"/>
    <row r="51" ht="6" customHeight="1"/>
    <row r="52" ht="24" customHeight="1">
      <c r="B52" s="15" t="inlineStr">
        <is>
          <t>■ A-4〜A-8. コンテナの中でやること</t>
        </is>
      </c>
      <c r="C52" s="16" t="n"/>
      <c r="D52" s="16" t="n"/>
      <c r="E52" s="16" t="n"/>
    </row>
    <row r="53" ht="4" customHeight="1"/>
    <row r="54" ht="18" customHeight="1">
      <c r="B54" s="20" t="inlineStr">
        <is>
          <t>▼ コンテナの中（ECS Exec のシェル）　（コピーは B 列のコード行だけを縦に選択）</t>
        </is>
      </c>
      <c r="C54" s="4" t="n"/>
      <c r="D54" s="4" t="n"/>
      <c r="E54" s="4" t="n"/>
    </row>
    <row r="55" ht="15.75" customHeight="1">
      <c r="B55" s="21" t="inlineStr">
        <is>
          <t># ===== ここからはコンテナの中 =====</t>
        </is>
      </c>
      <c r="C55" s="22" t="n"/>
      <c r="D55" s="22" t="n"/>
      <c r="E55" s="23" t="n"/>
    </row>
    <row r="56" ht="15.75" customHeight="1">
      <c r="B56" s="24" t="inlineStr">
        <is>
          <t># 4) jbpool.sh の中身を「全部」貼り付ける → 最後の行で自動的に snapshot が 1 回動く</t>
        </is>
      </c>
      <c r="C56" s="25" t="n"/>
      <c r="D56" s="25" t="n"/>
      <c r="E56" s="26" t="n"/>
    </row>
    <row r="57" ht="15.75" customHeight="1">
      <c r="B57" s="24" t="n"/>
      <c r="C57" s="25" t="n"/>
      <c r="D57" s="25" t="n"/>
      <c r="E57" s="26" t="n"/>
    </row>
    <row r="58" ht="15.75" customHeight="1">
      <c r="B58" s="24" t="inlineStr">
        <is>
          <t># 5) 推移を見る（10 秒ごと。止めるときは Ctrl+C）。時刻を日本時間で出すなら TZ=JST-9</t>
        </is>
      </c>
      <c r="C58" s="25" t="n"/>
      <c r="D58" s="25" t="n"/>
      <c r="E58" s="26" t="n"/>
    </row>
    <row r="59" ht="15.75" customHeight="1">
      <c r="B59" s="24" t="inlineStr">
        <is>
          <t>TZ=JST-9 jbpool watch 10</t>
        </is>
      </c>
      <c r="C59" s="25" t="n"/>
      <c r="D59" s="25" t="n"/>
      <c r="E59" s="26" t="n"/>
    </row>
    <row r="60" ht="15.75" customHeight="1">
      <c r="B60" s="24" t="n"/>
      <c r="C60" s="25" t="n"/>
      <c r="D60" s="25" t="n"/>
      <c r="E60" s="26" t="n"/>
    </row>
    <row r="61" ht="15.75" customHeight="1">
      <c r="B61" s="24" t="inlineStr">
        <is>
          <t># 6) あふれていたら、どのコードで待っているかを見る</t>
        </is>
      </c>
      <c r="C61" s="25" t="n"/>
      <c r="D61" s="25" t="n"/>
      <c r="E61" s="26" t="n"/>
    </row>
    <row r="62" ht="15.75" customHeight="1">
      <c r="B62" s="24" t="inlineStr">
        <is>
          <t>jbpool threads</t>
        </is>
      </c>
      <c r="C62" s="25" t="n"/>
      <c r="D62" s="25" t="n"/>
      <c r="E62" s="26" t="n"/>
    </row>
    <row r="63" ht="15.75" customHeight="1">
      <c r="B63" s="24" t="n"/>
      <c r="C63" s="25" t="n"/>
      <c r="D63" s="25" t="n"/>
      <c r="E63" s="26" t="n"/>
    </row>
    <row r="64" ht="15.75" customHeight="1">
      <c r="B64" s="24" t="inlineStr">
        <is>
          <t># 7) 統計が OFF（STATUS が STATS-OFF）なら ON にする（再起動で元に戻る一時的な ON）</t>
        </is>
      </c>
      <c r="C64" s="25" t="n"/>
      <c r="D64" s="25" t="n"/>
      <c r="E64" s="26" t="n"/>
    </row>
    <row r="65" ht="15.75" customHeight="1">
      <c r="B65" s="24" t="inlineStr">
        <is>
          <t>jbpool enable-stats</t>
        </is>
      </c>
      <c r="C65" s="25" t="n"/>
      <c r="D65" s="25" t="n"/>
      <c r="E65" s="26" t="n"/>
    </row>
    <row r="66" ht="15.75" customHeight="1">
      <c r="B66" s="24" t="n"/>
      <c r="C66" s="25" t="n"/>
      <c r="D66" s="25" t="n"/>
      <c r="E66" s="26" t="n"/>
    </row>
    <row r="67" ht="15.75" customHeight="1">
      <c r="B67" s="24" t="inlineStr">
        <is>
          <t># 8) 終わったら抜ける</t>
        </is>
      </c>
      <c r="C67" s="25" t="n"/>
      <c r="D67" s="25" t="n"/>
      <c r="E67" s="26" t="n"/>
    </row>
    <row r="68" ht="15.75" customHeight="1">
      <c r="B68" s="27" t="inlineStr">
        <is>
          <t>exit</t>
        </is>
      </c>
      <c r="C68" s="28" t="n"/>
      <c r="D68" s="28" t="n"/>
      <c r="E68" s="29" t="n"/>
    </row>
    <row r="69" ht="8" customHeight="1"/>
    <row r="70" ht="6" customHeight="1"/>
    <row r="71" ht="24" customHeight="1">
      <c r="B71" s="15" t="inlineStr">
        <is>
          <t>■ A-9. バックでも同じことをする</t>
        </is>
      </c>
      <c r="C71" s="16" t="n"/>
      <c r="D71" s="16" t="n"/>
      <c r="E71" s="16" t="n"/>
    </row>
    <row r="72" ht="4" customHeight="1"/>
    <row r="73" ht="18" customHeight="1">
      <c r="B73" s="20" t="inlineStr">
        <is>
          <t>▼ bash　（コピーは B 列のコード行だけを縦に選択）</t>
        </is>
      </c>
      <c r="C73" s="4" t="n"/>
      <c r="D73" s="4" t="n"/>
      <c r="E73" s="4" t="n"/>
    </row>
    <row r="74" ht="15.75" customHeight="1">
      <c r="B74" s="21" t="inlineStr">
        <is>
          <t># バックも同じ手順（--container だけ変える）</t>
        </is>
      </c>
      <c r="C74" s="22" t="n"/>
      <c r="D74" s="22" t="n"/>
      <c r="E74" s="23" t="n"/>
    </row>
    <row r="75" ht="15.75" customHeight="1">
      <c r="B75" s="27" t="inlineStr">
        <is>
          <t>aws ecs execute-command --region "$REGION" --cluster "$CLUSTER" --task "$TASK" --container back --interactive --command "/bin/bash"</t>
        </is>
      </c>
      <c r="C75" s="28" t="n"/>
      <c r="D75" s="28" t="n"/>
      <c r="E75" s="29" t="n"/>
    </row>
    <row r="76" ht="8" customHeight="1"/>
    <row r="77" ht="6" customHeight="1"/>
    <row r="78" ht="24" customHeight="1">
      <c r="B78" s="15" t="inlineStr">
        <is>
          <t>■ A-10.（任意）ファイルに保存して、手元から front／back をまとめて実行</t>
        </is>
      </c>
      <c r="C78" s="16" t="n"/>
      <c r="D78" s="16" t="n"/>
      <c r="E78" s="16" t="n"/>
    </row>
    <row r="79" ht="4" customHeight="1"/>
    <row r="80" ht="18" customHeight="1">
      <c r="B80" s="20" t="inlineStr">
        <is>
          <t>▼ コンテナの中　（コピーは B 列のコード行だけを縦に選択）</t>
        </is>
      </c>
      <c r="C80" s="4" t="n"/>
      <c r="D80" s="4" t="n"/>
      <c r="E80" s="4" t="n"/>
    </row>
    <row r="81" ht="15.75" customHeight="1">
      <c r="B81" s="21" t="inlineStr">
        <is>
          <t># （任意）2 回目以降を楽にする：コンテナの中にファイルとして保存しておく</t>
        </is>
      </c>
      <c r="C81" s="22" t="n"/>
      <c r="D81" s="22" t="n"/>
      <c r="E81" s="23" t="n"/>
    </row>
    <row r="82" ht="15.75" customHeight="1">
      <c r="B82" s="24" t="inlineStr">
        <is>
          <t>cat &gt; /tmp/jbpool.sh &lt;&lt;'JBPOOL_EOF'</t>
        </is>
      </c>
      <c r="C82" s="25" t="n"/>
      <c r="D82" s="25" t="n"/>
      <c r="E82" s="26" t="n"/>
    </row>
    <row r="83" ht="15.75" customHeight="1">
      <c r="B83" s="24" t="inlineStr">
        <is>
          <t>（ここに jbpool.sh の中身を全部貼る）</t>
        </is>
      </c>
      <c r="C83" s="25" t="n"/>
      <c r="D83" s="25" t="n"/>
      <c r="E83" s="26" t="n"/>
    </row>
    <row r="84" ht="15.75" customHeight="1">
      <c r="B84" s="24" t="inlineStr">
        <is>
          <t>JBPOOL_EOF</t>
        </is>
      </c>
      <c r="C84" s="25" t="n"/>
      <c r="D84" s="25" t="n"/>
      <c r="E84" s="26" t="n"/>
    </row>
    <row r="85" ht="15.75" customHeight="1">
      <c r="B85" s="24" t="inlineStr">
        <is>
          <t>sh /tmp/jbpool.sh            # snapshot</t>
        </is>
      </c>
      <c r="C85" s="25" t="n"/>
      <c r="D85" s="25" t="n"/>
      <c r="E85" s="26" t="n"/>
    </row>
    <row r="86" ht="15.75" customHeight="1">
      <c r="B86" s="27" t="inlineStr">
        <is>
          <t>sh /tmp/jbpool.sh watch 10   # 推移</t>
        </is>
      </c>
      <c r="C86" s="28" t="n"/>
      <c r="D86" s="28" t="n"/>
      <c r="E86" s="29" t="n"/>
    </row>
    <row r="87" ht="8" customHeight="1"/>
    <row r="88" ht="18" customHeight="1">
      <c r="B88" s="20" t="inlineStr">
        <is>
          <t>▼ bash（手元 PC）　（コピーは B 列のコード行だけを縦に選択）</t>
        </is>
      </c>
      <c r="C88" s="4" t="n"/>
      <c r="D88" s="4" t="n"/>
      <c r="E88" s="4" t="n"/>
    </row>
    <row r="89" ht="15.75" customHeight="1">
      <c r="B89" s="21" t="inlineStr">
        <is>
          <t># 両方のコンテナに /tmp/jbpool.sh を置いたあと、手元 PC から front／back を続けて実行（bash）</t>
        </is>
      </c>
      <c r="C89" s="22" t="n"/>
      <c r="D89" s="22" t="n"/>
      <c r="E89" s="23" t="n"/>
    </row>
    <row r="90" ht="15.75" customHeight="1">
      <c r="B90" s="24" t="inlineStr">
        <is>
          <t>for C in front back; do</t>
        </is>
      </c>
      <c r="C90" s="25" t="n"/>
      <c r="D90" s="25" t="n"/>
      <c r="E90" s="26" t="n"/>
    </row>
    <row r="91" ht="15.75" customHeight="1">
      <c r="B91" s="24" t="inlineStr">
        <is>
          <t xml:space="preserve">  echo "===== $C"</t>
        </is>
      </c>
      <c r="C91" s="25" t="n"/>
      <c r="D91" s="25" t="n"/>
      <c r="E91" s="26" t="n"/>
    </row>
    <row r="92" ht="15.75" customHeight="1">
      <c r="B92" s="24" t="inlineStr">
        <is>
          <t xml:space="preserve">  aws ecs execute-command --region "$REGION" --cluster "$CLUSTER" --task "$TASK" --container "$C" --interactive --command "env TZ=JST-9 JBP_LABEL=$C sh /tmp/jbpool.sh snapshot"</t>
        </is>
      </c>
      <c r="C92" s="25" t="n"/>
      <c r="D92" s="25" t="n"/>
      <c r="E92" s="26" t="n"/>
    </row>
    <row r="93" ht="15.75" customHeight="1">
      <c r="B93" s="27" t="inlineStr">
        <is>
          <t>done</t>
        </is>
      </c>
      <c r="C93" s="28" t="n"/>
      <c r="D93" s="28" t="n"/>
      <c r="E93" s="29" t="n"/>
    </row>
    <row r="94" ht="8" customHeight="1"/>
    <row r="95" ht="18" customHeight="1">
      <c r="B95" s="20" t="inlineStr">
        <is>
          <t>▼ PowerShell（手元 PC）　（コピーは B 列のコード行だけを縦に選択）</t>
        </is>
      </c>
      <c r="C95" s="4" t="n"/>
      <c r="D95" s="4" t="n"/>
      <c r="E95" s="4" t="n"/>
    </row>
    <row r="96" ht="15.75" customHeight="1">
      <c r="B96" s="21" t="inlineStr">
        <is>
          <t># 同じことを PowerShell で</t>
        </is>
      </c>
      <c r="C96" s="22" t="n"/>
      <c r="D96" s="22" t="n"/>
      <c r="E96" s="23" t="n"/>
    </row>
    <row r="97" ht="15.75" customHeight="1">
      <c r="B97" s="24" t="inlineStr">
        <is>
          <t>foreach ($C in "front", "back") {</t>
        </is>
      </c>
      <c r="C97" s="25" t="n"/>
      <c r="D97" s="25" t="n"/>
      <c r="E97" s="26" t="n"/>
    </row>
    <row r="98" ht="15.75" customHeight="1">
      <c r="B98" s="24" t="inlineStr">
        <is>
          <t xml:space="preserve">  "===== $C"</t>
        </is>
      </c>
      <c r="C98" s="25" t="n"/>
      <c r="D98" s="25" t="n"/>
      <c r="E98" s="26" t="n"/>
    </row>
    <row r="99" ht="15.75" customHeight="1">
      <c r="B99" s="24" t="inlineStr">
        <is>
          <t xml:space="preserve">  aws ecs execute-command --region $Region --cluster $Cluster --task $Task --container $C --interactive --command "env TZ=JST-9 JBP_LABEL=$C sh /tmp/jbpool.sh snapshot"</t>
        </is>
      </c>
      <c r="C99" s="25" t="n"/>
      <c r="D99" s="25" t="n"/>
      <c r="E99" s="26" t="n"/>
    </row>
    <row r="100" ht="15.75" customHeight="1">
      <c r="B100" s="27" t="inlineStr">
        <is>
          <t>}</t>
        </is>
      </c>
      <c r="C100" s="28" t="n"/>
      <c r="D100" s="28" t="n"/>
      <c r="E100" s="29" t="n"/>
    </row>
    <row r="101" ht="8" customHeight="1"/>
    <row r="102" ht="43" customHeight="1">
      <c r="B102" s="18" t="inlineStr">
        <is>
          <t>※ ECS Exec のセッションログ（CloudWatch Logs／S3）を有効にしている場合、打った文字や画面の出力が記録されます。CLI_PASS などのパスワードを打たない運用にしてください（このコマンドは通常パスワード不要のローカル認証で動きます）。</t>
        </is>
      </c>
      <c r="C102" s="19" t="n"/>
      <c r="D102" s="19" t="n"/>
      <c r="E102" s="19" t="n"/>
    </row>
    <row r="103" ht="8" customHeight="1"/>
    <row r="104" ht="6" customHeight="1"/>
    <row r="105" ht="24" customHeight="1">
      <c r="B105" s="15" t="inlineStr">
        <is>
          <t>■ B. Docker Compose で使う</t>
        </is>
      </c>
      <c r="C105" s="16" t="n"/>
      <c r="D105" s="16" t="n"/>
      <c r="E105" s="16" t="n"/>
    </row>
    <row r="106" ht="4" customHeight="1"/>
    <row r="107" ht="18" customHeight="1">
      <c r="B107" s="20" t="inlineStr">
        <is>
          <t>▼ bash　（コピーは B 列のコード行だけを縦に選択）</t>
        </is>
      </c>
      <c r="C107" s="4" t="n"/>
      <c r="D107" s="4" t="n"/>
      <c r="E107" s="4" t="n"/>
    </row>
    <row r="108" ht="15.75" customHeight="1">
      <c r="B108" s="21" t="inlineStr">
        <is>
          <t># docker-compose.yml があるフォルダで実行（bash / Git Bash / WSL）</t>
        </is>
      </c>
      <c r="C108" s="22" t="n"/>
      <c r="D108" s="22" t="n"/>
      <c r="E108" s="23" t="n"/>
    </row>
    <row r="109" ht="15.75" customHeight="1">
      <c r="B109" s="24" t="inlineStr">
        <is>
          <t>docker compose ps</t>
        </is>
      </c>
      <c r="C109" s="25" t="n"/>
      <c r="D109" s="25" t="n"/>
      <c r="E109" s="26" t="n"/>
    </row>
    <row r="110" ht="15.75" customHeight="1">
      <c r="B110" s="24" t="n"/>
      <c r="C110" s="25" t="n"/>
      <c r="D110" s="25" t="n"/>
      <c r="E110" s="26" t="n"/>
    </row>
    <row r="111" ht="15.75" customHeight="1">
      <c r="B111" s="24" t="inlineStr">
        <is>
          <t># front と back の snapshot を続けて（ファイルを標準入力で流し込む方式。貼り付け不要）</t>
        </is>
      </c>
      <c r="C111" s="25" t="n"/>
      <c r="D111" s="25" t="n"/>
      <c r="E111" s="26" t="n"/>
    </row>
    <row r="112" ht="15.75" customHeight="1">
      <c r="B112" s="24" t="inlineStr">
        <is>
          <t>for S in front back; do echo "===== $S"; docker compose exec -T -e TZ=JST-9 -e JBP_LABEL=$S "$S" sh -s -- snapshot &lt; jbpool.sh; done</t>
        </is>
      </c>
      <c r="C112" s="25" t="n"/>
      <c r="D112" s="25" t="n"/>
      <c r="E112" s="26" t="n"/>
    </row>
    <row r="113" ht="15.75" customHeight="1">
      <c r="B113" s="24" t="n"/>
      <c r="C113" s="25" t="n"/>
      <c r="D113" s="25" t="n"/>
      <c r="E113" s="26" t="n"/>
    </row>
    <row r="114" ht="15.75" customHeight="1">
      <c r="B114" s="24" t="inlineStr">
        <is>
          <t># back の推移を 10 秒ごと（Ctrl+C で止める）</t>
        </is>
      </c>
      <c r="C114" s="25" t="n"/>
      <c r="D114" s="25" t="n"/>
      <c r="E114" s="26" t="n"/>
    </row>
    <row r="115" ht="15.75" customHeight="1">
      <c r="B115" s="24" t="inlineStr">
        <is>
          <t>docker compose exec -T -e TZ=JST-9 -e JBP_LABEL=back back sh -s -- watch 10 &lt; jbpool.sh</t>
        </is>
      </c>
      <c r="C115" s="25" t="n"/>
      <c r="D115" s="25" t="n"/>
      <c r="E115" s="26" t="n"/>
    </row>
    <row r="116" ht="15.75" customHeight="1">
      <c r="B116" s="24" t="n"/>
      <c r="C116" s="25" t="n"/>
      <c r="D116" s="25" t="n"/>
      <c r="E116" s="26" t="n"/>
    </row>
    <row r="117" ht="15.75" customHeight="1">
      <c r="B117" s="24" t="inlineStr">
        <is>
          <t># back の推移を CSV で 1 時間ぶん（10 秒 × 360 回）手元に保存</t>
        </is>
      </c>
      <c r="C117" s="25" t="n"/>
      <c r="D117" s="25" t="n"/>
      <c r="E117" s="26" t="n"/>
    </row>
    <row r="118" ht="15.75" customHeight="1">
      <c r="B118" s="27" t="inlineStr">
        <is>
          <t>docker compose exec -T -e TZ=JST-9 -e JBP_LABEL=back back sh -s -- csv 10 360 &lt; jbpool.sh &gt; pool_back.csv</t>
        </is>
      </c>
      <c r="C118" s="28" t="n"/>
      <c r="D118" s="28" t="n"/>
      <c r="E118" s="29" t="n"/>
    </row>
    <row r="119" ht="8" customHeight="1"/>
    <row r="120" ht="18" customHeight="1">
      <c r="B120" s="20" t="inlineStr">
        <is>
          <t>▼ PowerShell　（コピーは B 列のコード行だけを縦に選択）</t>
        </is>
      </c>
      <c r="C120" s="4" t="n"/>
      <c r="D120" s="4" t="n"/>
      <c r="E120" s="4" t="n"/>
    </row>
    <row r="121" ht="15.75" customHeight="1">
      <c r="B121" s="21" t="inlineStr">
        <is>
          <t># PowerShell では「&lt;」が使えないので cmd /c に任せる</t>
        </is>
      </c>
      <c r="C121" s="22" t="n"/>
      <c r="D121" s="22" t="n"/>
      <c r="E121" s="23" t="n"/>
    </row>
    <row r="122" ht="15.75" customHeight="1">
      <c r="B122" s="24" t="inlineStr">
        <is>
          <t>docker compose ps</t>
        </is>
      </c>
      <c r="C122" s="25" t="n"/>
      <c r="D122" s="25" t="n"/>
      <c r="E122" s="26" t="n"/>
    </row>
    <row r="123" ht="15.75" customHeight="1">
      <c r="B123" s="24" t="inlineStr">
        <is>
          <t>foreach ($S in "front", "back") { "===== $S"; cmd /c "docker compose exec -T -e TZ=JST-9 -e JBP_LABEL=$S $S sh -s -- snapshot &lt; jbpool.sh" }</t>
        </is>
      </c>
      <c r="C123" s="25" t="n"/>
      <c r="D123" s="25" t="n"/>
      <c r="E123" s="26" t="n"/>
    </row>
    <row r="124" ht="15.75" customHeight="1">
      <c r="B124" s="24" t="inlineStr">
        <is>
          <t>cmd /c "docker compose exec -T -e TZ=JST-9 -e JBP_LABEL=back back sh -s -- watch 10 &lt; jbpool.sh"</t>
        </is>
      </c>
      <c r="C124" s="25" t="n"/>
      <c r="D124" s="25" t="n"/>
      <c r="E124" s="26" t="n"/>
    </row>
    <row r="125" ht="15.75" customHeight="1">
      <c r="B125" s="27" t="inlineStr">
        <is>
          <t>cmd /c "docker compose exec -T -e TZ=JST-9 -e JBP_LABEL=back back sh -s -- csv 10 360 &lt; jbpool.sh &gt; pool_back.csv"</t>
        </is>
      </c>
      <c r="C125" s="28" t="n"/>
      <c r="D125" s="28" t="n"/>
      <c r="E125" s="29" t="n"/>
    </row>
    <row r="126" ht="8" customHeight="1"/>
    <row r="127" ht="18" customHeight="1">
      <c r="B127" s="20" t="inlineStr">
        <is>
          <t>▼ 貼り付けで使う場合　（コピーは B 列のコード行だけを縦に選択）</t>
        </is>
      </c>
      <c r="C127" s="4" t="n"/>
      <c r="D127" s="4" t="n"/>
      <c r="E127" s="4" t="n"/>
    </row>
    <row r="128" ht="15.75" customHeight="1">
      <c r="B128" s="21" t="inlineStr">
        <is>
          <t># 貼り付けで使う場合（ECS と同じ感覚）</t>
        </is>
      </c>
      <c r="C128" s="22" t="n"/>
      <c r="D128" s="22" t="n"/>
      <c r="E128" s="23" t="n"/>
    </row>
    <row r="129" ht="15.75" customHeight="1">
      <c r="B129" s="24" t="inlineStr">
        <is>
          <t>docker compose exec front bash</t>
        </is>
      </c>
      <c r="C129" s="25" t="n"/>
      <c r="D129" s="25" t="n"/>
      <c r="E129" s="26" t="n"/>
    </row>
    <row r="130" ht="15.75" customHeight="1">
      <c r="B130" s="27" t="inlineStr">
        <is>
          <t># → 中に入ったら jbpool.sh の中身を全部貼る → jbpool watch 10 など</t>
        </is>
      </c>
      <c r="C130" s="28" t="n"/>
      <c r="D130" s="28" t="n"/>
      <c r="E130" s="29" t="n"/>
    </row>
    <row r="131" ht="8" customHeight="1"/>
    <row r="132" ht="43" customHeight="1">
      <c r="B132" s="18" t="inlineStr">
        <is>
          <t>※ jbpool.sh は改行コード LF のまま保存してください（CRLF にすると sh がエラーになります）。長い貼り付けが途中で切れる端末では、スクリプト内の「PART 1/3」「PART 2/3」「PART 3/3」の区切りごとに分けて貼れば大丈夫です。</t>
        </is>
      </c>
      <c r="C132" s="19" t="n"/>
      <c r="D132" s="19" t="n"/>
      <c r="E132" s="19" t="n"/>
    </row>
    <row r="133" ht="8" customHeight="1"/>
  </sheetData>
  <mergeCells count="29">
    <mergeCell ref="D10:E10"/>
    <mergeCell ref="B127:E127"/>
    <mergeCell ref="B80:E80"/>
    <mergeCell ref="B20:E20"/>
    <mergeCell ref="B95:E95"/>
    <mergeCell ref="B35:E35"/>
    <mergeCell ref="B4:E4"/>
    <mergeCell ref="D11:E11"/>
    <mergeCell ref="D13:E13"/>
    <mergeCell ref="B54:E54"/>
    <mergeCell ref="B7:E7"/>
    <mergeCell ref="B18:E18"/>
    <mergeCell ref="B71:E71"/>
    <mergeCell ref="B102:E102"/>
    <mergeCell ref="B105:E105"/>
    <mergeCell ref="B52:E52"/>
    <mergeCell ref="B120:E120"/>
    <mergeCell ref="B2:E2"/>
    <mergeCell ref="D9:E9"/>
    <mergeCell ref="B107:E107"/>
    <mergeCell ref="D12:E12"/>
    <mergeCell ref="B1:E1"/>
    <mergeCell ref="B132:E132"/>
    <mergeCell ref="D15:E15"/>
    <mergeCell ref="B73:E73"/>
    <mergeCell ref="B88:E88"/>
    <mergeCell ref="B78:E78"/>
    <mergeCell ref="D14:E14"/>
    <mergeCell ref="B37:E37"/>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6.xml><?xml version="1.0" encoding="utf-8"?>
<worksheet xmlns="http://schemas.openxmlformats.org/spreadsheetml/2006/main">
  <sheetPr>
    <tabColor rgb="00404040"/>
    <outlinePr summaryBelow="1" summaryRight="1"/>
    <pageSetUpPr fitToPage="1"/>
  </sheetPr>
  <dimension ref="B1:E101"/>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4" customWidth="1" min="2" max="2"/>
    <col width="40" customWidth="1" min="3" max="3"/>
    <col width="46" customWidth="1" min="4" max="4"/>
    <col width="16" customWidth="1" min="5" max="5"/>
  </cols>
  <sheetData>
    <row r="1" ht="34" customHeight="1">
      <c r="B1" s="1" t="inlineStr">
        <is>
          <t>コマンド集 ― jbpool・環境変数・生の CLI・ログ</t>
        </is>
      </c>
      <c r="C1" s="2" t="n"/>
      <c r="D1" s="2" t="n"/>
      <c r="E1" s="2" t="n"/>
    </row>
    <row r="2" ht="18" customHeight="1">
      <c r="B2" s="3" t="inlineStr">
        <is>
          <t>JBoss EAP コネクションプール確認コマンド「jbpool」解説書　｜　2026-10-17</t>
        </is>
      </c>
      <c r="C2" s="4" t="n"/>
      <c r="D2" s="4" t="n"/>
      <c r="E2" s="4" t="n"/>
    </row>
    <row r="3" ht="10" customHeight="1"/>
    <row r="4" ht="6" customHeight="1"/>
    <row r="5" ht="24" customHeight="1">
      <c r="B5" s="15" t="inlineStr">
        <is>
          <t>■ jbpool のサブコマンド</t>
        </is>
      </c>
      <c r="C5" s="16" t="n"/>
      <c r="D5" s="16" t="n"/>
      <c r="E5" s="16" t="n"/>
    </row>
    <row r="6" ht="4" customHeight="1"/>
    <row r="7" ht="22.5" customHeight="1">
      <c r="B7" s="7" t="inlineStr">
        <is>
          <t>コマンド</t>
        </is>
      </c>
      <c r="C7" s="7" t="inlineStr">
        <is>
          <t>何をする</t>
        </is>
      </c>
      <c r="D7" s="7" t="inlineStr">
        <is>
          <t>何がわかる</t>
        </is>
      </c>
      <c r="E7" s="7" t="inlineStr">
        <is>
          <t>設定変更</t>
        </is>
      </c>
    </row>
    <row r="8" ht="39" customHeight="1">
      <c r="B8" s="9" t="inlineStr">
        <is>
          <t>jbpool（= jbpool snapshot）</t>
        </is>
      </c>
      <c r="C8" s="10" t="inlineStr">
        <is>
          <t>全データソースをくわしく 1 回調べる</t>
        </is>
      </c>
      <c r="D8" s="10" t="inlineStr">
        <is>
          <t>設定・現在値・最大値・累計・待ちスレッド・解消予定・アドバイス</t>
        </is>
      </c>
      <c r="E8" s="10" t="inlineStr">
        <is>
          <t>なし</t>
        </is>
      </c>
    </row>
    <row r="9" ht="55.5" customHeight="1">
      <c r="B9" s="12" t="inlineStr">
        <is>
          <t>jbpool watch [秒] [回数]</t>
        </is>
      </c>
      <c r="C9" s="13" t="inlineStr">
        <is>
          <t>指定秒ごとに 1 行ずつ推移を表示（既定 10 秒、回数 0 = 無限）</t>
        </is>
      </c>
      <c r="D9" s="13" t="inlineStr">
        <is>
          <t>増えた（NEW）・減った（DEL／T/O）・待った（WAIT）・タイムアウト（TMOUT）・行列（QUEUE）・片付け予定</t>
        </is>
      </c>
      <c r="E9" s="13" t="inlineStr">
        <is>
          <t>なし</t>
        </is>
      </c>
    </row>
    <row r="10" ht="22.5" customHeight="1">
      <c r="B10" s="9" t="inlineStr">
        <is>
          <t>jbpool csv [秒] [回数]</t>
        </is>
      </c>
      <c r="C10" s="10" t="inlineStr">
        <is>
          <t>watch と同じ内容を CSV で出力</t>
        </is>
      </c>
      <c r="D10" s="10" t="inlineStr">
        <is>
          <t>Excel でグラフにできる推移データ</t>
        </is>
      </c>
      <c r="E10" s="10" t="inlineStr">
        <is>
          <t>なし</t>
        </is>
      </c>
    </row>
    <row r="11" ht="39" customHeight="1">
      <c r="B11" s="12" t="inlineStr">
        <is>
          <t>jbpool threads</t>
        </is>
      </c>
      <c r="C11" s="13" t="inlineStr">
        <is>
          <t>接続待ちのスレッドのスタックトレースを表示</t>
        </is>
      </c>
      <c r="D11" s="13" t="inlineStr">
        <is>
          <t>どのクラス・どの行で接続を待っているか</t>
        </is>
      </c>
      <c r="E11" s="13" t="inlineStr">
        <is>
          <t>なし</t>
        </is>
      </c>
    </row>
    <row r="12" ht="39" customHeight="1">
      <c r="B12" s="9" t="inlineStr">
        <is>
          <t>jbpool enable-stats</t>
        </is>
      </c>
      <c r="C12" s="10" t="inlineStr">
        <is>
          <t>全プールの statistics-enabled を true に（実行時のみ）</t>
        </is>
      </c>
      <c r="D12" s="10" t="inlineStr">
        <is>
          <t>以後の数値が記録される</t>
        </is>
      </c>
      <c r="E12" s="10" t="inlineStr">
        <is>
          <t>あり（一時的）</t>
        </is>
      </c>
    </row>
    <row r="13" ht="22.5" customHeight="1">
      <c r="B13" s="12" t="inlineStr">
        <is>
          <t>jbpool disable-stats</t>
        </is>
      </c>
      <c r="C13" s="13" t="inlineStr">
        <is>
          <t>統計を OFF に戻す</t>
        </is>
      </c>
      <c r="D13" s="13" t="inlineStr"/>
      <c r="E13" s="13" t="inlineStr">
        <is>
          <t>あり（一時的）</t>
        </is>
      </c>
    </row>
    <row r="14" ht="22.5" customHeight="1">
      <c r="B14" s="9" t="inlineStr">
        <is>
          <t>jbpool raw</t>
        </is>
      </c>
      <c r="C14" s="10" t="inlineStr">
        <is>
          <t>解析前の CLI 出力そのもの（調査用）</t>
        </is>
      </c>
      <c r="D14" s="10" t="inlineStr">
        <is>
          <t>生データ（パスワード等は読まない）</t>
        </is>
      </c>
      <c r="E14" s="10" t="inlineStr">
        <is>
          <t>なし</t>
        </is>
      </c>
    </row>
    <row r="15" ht="22.5" customHeight="1">
      <c r="B15" s="12" t="inlineStr">
        <is>
          <t>jbpool help</t>
        </is>
      </c>
      <c r="C15" s="13" t="inlineStr">
        <is>
          <t>使い方の表示</t>
        </is>
      </c>
      <c r="D15" s="13" t="inlineStr"/>
      <c r="E15" s="13" t="inlineStr">
        <is>
          <t>なし</t>
        </is>
      </c>
    </row>
    <row r="16" ht="8" customHeight="1"/>
    <row r="17" ht="6" customHeight="1"/>
    <row r="18" ht="24" customHeight="1">
      <c r="B18" s="15" t="inlineStr">
        <is>
          <t>■ よく使う例</t>
        </is>
      </c>
      <c r="C18" s="16" t="n"/>
      <c r="D18" s="16" t="n"/>
      <c r="E18" s="16" t="n"/>
    </row>
    <row r="19" ht="4" customHeight="1"/>
    <row r="20" ht="18" customHeight="1">
      <c r="B20" s="20" t="inlineStr">
        <is>
          <t>▼ コンテナの中　（コピーは B 列のコード行だけを縦に選択）</t>
        </is>
      </c>
      <c r="C20" s="4" t="n"/>
      <c r="D20" s="4" t="n"/>
      <c r="E20" s="4" t="n"/>
    </row>
    <row r="21" ht="15.75" customHeight="1">
      <c r="B21" s="21" t="inlineStr">
        <is>
          <t>jbpool                                   # snapshot（くわしい 1 回分）</t>
        </is>
      </c>
      <c r="C21" s="22" t="n"/>
      <c r="D21" s="22" t="n"/>
      <c r="E21" s="23" t="n"/>
    </row>
    <row r="22" ht="15.75" customHeight="1">
      <c r="B22" s="24" t="inlineStr">
        <is>
          <t>TZ=JST-9 jbpool watch 10                 # 10 秒ごと、日本時間で（Ctrl+C で止める）</t>
        </is>
      </c>
      <c r="C22" s="25" t="n"/>
      <c r="D22" s="25" t="n"/>
      <c r="E22" s="26" t="n"/>
    </row>
    <row r="23" ht="15.75" customHeight="1">
      <c r="B23" s="24" t="inlineStr">
        <is>
          <t>jbpool watch 5 120                       # 5 秒ごと 120 回（約 15 分）</t>
        </is>
      </c>
      <c r="C23" s="25" t="n"/>
      <c r="D23" s="25" t="n"/>
      <c r="E23" s="26" t="n"/>
    </row>
    <row r="24" ht="15.75" customHeight="1">
      <c r="B24" s="24" t="inlineStr">
        <is>
          <t>JBP_CSV=/tmp/pool.csv jbpool watch 10    # 画面に出しながら CSV にも追記</t>
        </is>
      </c>
      <c r="C24" s="25" t="n"/>
      <c r="D24" s="25" t="n"/>
      <c r="E24" s="26" t="n"/>
    </row>
    <row r="25" ht="15.75" customHeight="1">
      <c r="B25" s="24" t="inlineStr">
        <is>
          <t>jbpool csv 10 360 &gt; /tmp/pool.csv        # CSV だけを 1 時間ぶん</t>
        </is>
      </c>
      <c r="C25" s="25" t="n"/>
      <c r="D25" s="25" t="n"/>
      <c r="E25" s="26" t="n"/>
    </row>
    <row r="26" ht="15.75" customHeight="1">
      <c r="B26" s="24" t="inlineStr">
        <is>
          <t>cat /tmp/pool.csv                        # 中身を表示してコピー → Excel に貼る</t>
        </is>
      </c>
      <c r="C26" s="25" t="n"/>
      <c r="D26" s="25" t="n"/>
      <c r="E26" s="26" t="n"/>
    </row>
    <row r="27" ht="15.75" customHeight="1">
      <c r="B27" s="24" t="inlineStr">
        <is>
          <t>MGMT_PORT=10090 jbpool                   # 管理ポートを手で指定（port-offset 100 のとき）</t>
        </is>
      </c>
      <c r="C27" s="25" t="n"/>
      <c r="D27" s="25" t="n"/>
      <c r="E27" s="26" t="n"/>
    </row>
    <row r="28" ht="15.75" customHeight="1">
      <c r="B28" s="24" t="inlineStr">
        <is>
          <t>CLI_USER=admin CLI_PASS='xxxx' jbpool    # ローカル認証が使えない構成のとき（ログに残る点に注意）</t>
        </is>
      </c>
      <c r="C28" s="25" t="n"/>
      <c r="D28" s="25" t="n"/>
      <c r="E28" s="26" t="n"/>
    </row>
    <row r="29" ht="15.75" customHeight="1">
      <c r="B29" s="27" t="inlineStr">
        <is>
          <t>JBP_WARN=70 jbpool watch 10              # 70% 以上を BUSY と表示</t>
        </is>
      </c>
      <c r="C29" s="28" t="n"/>
      <c r="D29" s="28" t="n"/>
      <c r="E29" s="29" t="n"/>
    </row>
    <row r="30" ht="8" customHeight="1"/>
    <row r="31" ht="6" customHeight="1"/>
    <row r="32" ht="24" customHeight="1">
      <c r="B32" s="15" t="inlineStr">
        <is>
          <t>■ 環境変数（必要なときだけ）</t>
        </is>
      </c>
      <c r="C32" s="16" t="n"/>
      <c r="D32" s="16" t="n"/>
      <c r="E32" s="16" t="n"/>
    </row>
    <row r="33" ht="4" customHeight="1"/>
    <row r="34" ht="22.5" customHeight="1">
      <c r="B34" s="7" t="inlineStr">
        <is>
          <t>変数</t>
        </is>
      </c>
      <c r="C34" s="7" t="inlineStr">
        <is>
          <t>意味</t>
        </is>
      </c>
      <c r="D34" s="7" t="inlineStr">
        <is>
          <t>既定（自動）</t>
        </is>
      </c>
      <c r="E34" s="8" t="n"/>
    </row>
    <row r="35" ht="39" customHeight="1">
      <c r="B35" s="9" t="inlineStr">
        <is>
          <t>JBOSS_HOME</t>
        </is>
      </c>
      <c r="C35" s="10" t="inlineStr">
        <is>
          <t>EAP のインストール先</t>
        </is>
      </c>
      <c r="D35" s="10" t="inlineStr">
        <is>
          <t>/opt/server → /opt/eap → /opt/jboss/wildfly → … の順に自動検索</t>
        </is>
      </c>
      <c r="E35" s="11" t="n"/>
    </row>
    <row r="36" ht="39" customHeight="1">
      <c r="B36" s="12" t="inlineStr">
        <is>
          <t>MGMT_PORT</t>
        </is>
      </c>
      <c r="C36" s="13" t="inlineStr">
        <is>
          <t>管理ポート</t>
        </is>
      </c>
      <c r="D36" s="13" t="inlineStr">
        <is>
          <t>動いているサーバーの起動引数から 9990＋port-offset を自動計算</t>
        </is>
      </c>
      <c r="E36" s="14" t="n"/>
    </row>
    <row r="37" ht="39" customHeight="1">
      <c r="B37" s="9" t="inlineStr">
        <is>
          <t>MGMT_HOST</t>
        </is>
      </c>
      <c r="C37" s="10" t="inlineStr">
        <is>
          <t>管理インターフェースのアドレス</t>
        </is>
      </c>
      <c r="D37" s="10" t="inlineStr">
        <is>
          <t>127.0.0.1（-bmanagement などで特定アドレスなら自動でそれ）</t>
        </is>
      </c>
      <c r="E37" s="11" t="n"/>
    </row>
    <row r="38" ht="22.5" customHeight="1">
      <c r="B38" s="12" t="inlineStr">
        <is>
          <t>CONTROLLER</t>
        </is>
      </c>
      <c r="C38" s="13" t="inlineStr">
        <is>
          <t>接続先 URL を丸ごと指定</t>
        </is>
      </c>
      <c r="D38" s="13" t="inlineStr">
        <is>
          <t>remote+http://ホスト:ポート</t>
        </is>
      </c>
      <c r="E38" s="14" t="n"/>
    </row>
    <row r="39" ht="22.5" customHeight="1">
      <c r="B39" s="9" t="inlineStr">
        <is>
          <t>CLI_USER／CLI_PASS</t>
        </is>
      </c>
      <c r="C39" s="10" t="inlineStr">
        <is>
          <t>管理ユーザーで接続する</t>
        </is>
      </c>
      <c r="D39" s="10" t="inlineStr">
        <is>
          <t>未指定（ローカルのサイレント認証）</t>
        </is>
      </c>
      <c r="E39" s="11" t="n"/>
    </row>
    <row r="40" ht="22.5" customHeight="1">
      <c r="B40" s="12" t="inlineStr">
        <is>
          <t>JBP_LABEL</t>
        </is>
      </c>
      <c r="C40" s="13" t="inlineStr">
        <is>
          <t>画面に出す名前</t>
        </is>
      </c>
      <c r="D40" s="13" t="inlineStr">
        <is>
          <t>ECS のコンテナ名（メタデータ v4）→ なければホスト名</t>
        </is>
      </c>
      <c r="E40" s="14" t="n"/>
    </row>
    <row r="41" ht="22.5" customHeight="1">
      <c r="B41" s="9" t="inlineStr">
        <is>
          <t>JBP_WARN</t>
        </is>
      </c>
      <c r="C41" s="10" t="inlineStr">
        <is>
          <t>BUSY と表示するしきい値（%）</t>
        </is>
      </c>
      <c r="D41" s="10" t="inlineStr">
        <is>
          <t>80</t>
        </is>
      </c>
      <c r="E41" s="11" t="n"/>
    </row>
    <row r="42" ht="22.5" customHeight="1">
      <c r="B42" s="12" t="inlineStr">
        <is>
          <t>JBP_CSV</t>
        </is>
      </c>
      <c r="C42" s="13" t="inlineStr">
        <is>
          <t>watch 中に CSV を追記するファイル</t>
        </is>
      </c>
      <c r="D42" s="13" t="inlineStr">
        <is>
          <t>なし</t>
        </is>
      </c>
      <c r="E42" s="14" t="n"/>
    </row>
    <row r="43" ht="22.5" customHeight="1">
      <c r="B43" s="9" t="inlineStr">
        <is>
          <t>JBP_JAVA_OPTS</t>
        </is>
      </c>
      <c r="C43" s="10" t="inlineStr">
        <is>
          <t>CLI 用 JVM のオプション</t>
        </is>
      </c>
      <c r="D43" s="10" t="inlineStr">
        <is>
          <t>-Xms16m -Xmx128m -XX:+UseSerialGC -XX:TieredStopAtLevel=1</t>
        </is>
      </c>
      <c r="E43" s="11" t="n"/>
    </row>
    <row r="44" ht="39" customHeight="1">
      <c r="B44" s="12" t="inlineStr">
        <is>
          <t>JBP_MIN_FREE_MB／JBP_FORCE</t>
        </is>
      </c>
      <c r="C44" s="13" t="inlineStr">
        <is>
          <t>メモリの余裕が足りないときの停止しきい値／強制実行</t>
        </is>
      </c>
      <c r="D44" s="13" t="inlineStr">
        <is>
          <t>200 MB／未指定</t>
        </is>
      </c>
      <c r="E44" s="14" t="n"/>
    </row>
    <row r="45" ht="39" customHeight="1">
      <c r="B45" s="9" t="inlineStr">
        <is>
          <t>TZ</t>
        </is>
      </c>
      <c r="C45" s="10" t="inlineStr">
        <is>
          <t>表示する時刻のタイムゾーン</t>
        </is>
      </c>
      <c r="D45" s="10" t="inlineStr">
        <is>
          <t>コンテナの設定（多くは UTC）。TZ=JST-9 で日本時間（tzdata 不要）</t>
        </is>
      </c>
      <c r="E45" s="11" t="n"/>
    </row>
    <row r="46" ht="8" customHeight="1"/>
    <row r="47" ht="6" customHeight="1"/>
    <row r="48" ht="24" customHeight="1">
      <c r="B48" s="15" t="inlineStr">
        <is>
          <t>■ 生の JBoss CLI コマンド（参考）</t>
        </is>
      </c>
      <c r="C48" s="16" t="n"/>
      <c r="D48" s="16" t="n"/>
      <c r="E48" s="16" t="n"/>
    </row>
    <row r="49" ht="4" customHeight="1"/>
    <row r="50" ht="18" customHeight="1">
      <c r="B50" s="20" t="inlineStr">
        <is>
          <t>▼ コンテナの中　（コピーは B 列のコード行だけを縦に選択）</t>
        </is>
      </c>
      <c r="C50" s="4" t="n"/>
      <c r="D50" s="4" t="n"/>
      <c r="E50" s="4" t="n"/>
    </row>
    <row r="51" ht="15.75" customHeight="1">
      <c r="B51" s="21" t="inlineStr">
        <is>
          <t># jbpool を使わずに、生の JBoss CLI で同じ情報を見る（コンテナの中で）</t>
        </is>
      </c>
      <c r="C51" s="22" t="n"/>
      <c r="D51" s="22" t="n"/>
      <c r="E51" s="23" t="n"/>
    </row>
    <row r="52" ht="15.75" customHeight="1">
      <c r="B52" s="24" t="inlineStr">
        <is>
          <t>JB=${JBOSS_HOME:-/opt/server}</t>
        </is>
      </c>
      <c r="C52" s="25" t="n"/>
      <c r="D52" s="25" t="n"/>
      <c r="E52" s="26" t="n"/>
    </row>
    <row r="53" ht="15.75" customHeight="1">
      <c r="B53" s="24" t="inlineStr">
        <is>
          <t>CLI="sh $JB/bin/jboss-cli.sh -c --controller=remote+http://127.0.0.1:9990"</t>
        </is>
      </c>
      <c r="C53" s="25" t="n"/>
      <c r="D53" s="25" t="n"/>
      <c r="E53" s="26" t="n"/>
    </row>
    <row r="54" ht="15.75" customHeight="1">
      <c r="B54" s="24" t="n"/>
      <c r="C54" s="25" t="n"/>
      <c r="D54" s="25" t="n"/>
      <c r="E54" s="26" t="n"/>
    </row>
    <row r="55" ht="15.75" customHeight="1">
      <c r="B55" s="24" t="inlineStr">
        <is>
          <t># 全データソースのプール統計（ActiveCount, InUseCount, WaitCount ...）</t>
        </is>
      </c>
      <c r="C55" s="25" t="n"/>
      <c r="D55" s="25" t="n"/>
      <c r="E55" s="26" t="n"/>
    </row>
    <row r="56" ht="15.75" customHeight="1">
      <c r="B56" s="24" t="inlineStr">
        <is>
          <t>$CLI --command='/subsystem=datasources/data-source=*/statistics=pool:read-resource(include-runtime=true)'</t>
        </is>
      </c>
      <c r="C56" s="25" t="n"/>
      <c r="D56" s="25" t="n"/>
      <c r="E56" s="26" t="n"/>
    </row>
    <row r="57" ht="15.75" customHeight="1">
      <c r="B57" s="24" t="n"/>
      <c r="C57" s="25" t="n"/>
      <c r="D57" s="25" t="n"/>
      <c r="E57" s="26" t="n"/>
    </row>
    <row r="58" ht="15.75" customHeight="1">
      <c r="B58" s="24" t="inlineStr">
        <is>
          <t># XA データソースの場合</t>
        </is>
      </c>
      <c r="C58" s="25" t="n"/>
      <c r="D58" s="25" t="n"/>
      <c r="E58" s="26" t="n"/>
    </row>
    <row r="59" ht="15.75" customHeight="1">
      <c r="B59" s="24" t="inlineStr">
        <is>
          <t>$CLI --command='/subsystem=datasources/xa-data-source=*/statistics=pool:read-resource(include-runtime=true)'</t>
        </is>
      </c>
      <c r="C59" s="25" t="n"/>
      <c r="D59" s="25" t="n"/>
      <c r="E59" s="26" t="n"/>
    </row>
    <row r="60" ht="15.75" customHeight="1">
      <c r="B60" s="24" t="n"/>
      <c r="C60" s="25" t="n"/>
      <c r="D60" s="25" t="n"/>
      <c r="E60" s="26" t="n"/>
    </row>
    <row r="61" ht="15.75" customHeight="1">
      <c r="B61" s="24" t="inlineStr">
        <is>
          <t># いま接続を待っているスレッド（スタックトレースつき）</t>
        </is>
      </c>
      <c r="C61" s="25" t="n"/>
      <c r="D61" s="25" t="n"/>
      <c r="E61" s="26" t="n"/>
    </row>
    <row r="62" ht="15.75" customHeight="1">
      <c r="B62" s="24" t="inlineStr">
        <is>
          <t>$CLI --command='/subsystem=datasources/data-source=ExampleDS:dump-queued-threads-in-pool'</t>
        </is>
      </c>
      <c r="C62" s="25" t="n"/>
      <c r="D62" s="25" t="n"/>
      <c r="E62" s="26" t="n"/>
    </row>
    <row r="63" ht="15.75" customHeight="1">
      <c r="B63" s="24" t="n"/>
      <c r="C63" s="25" t="n"/>
      <c r="D63" s="25" t="n"/>
      <c r="E63" s="26" t="n"/>
    </row>
    <row r="64" ht="15.75" customHeight="1">
      <c r="B64" s="24" t="inlineStr">
        <is>
          <t># 設定値（環境変数の式も解決して表示）</t>
        </is>
      </c>
      <c r="C64" s="25" t="n"/>
      <c r="D64" s="25" t="n"/>
      <c r="E64" s="26" t="n"/>
    </row>
    <row r="65" ht="15.75" customHeight="1">
      <c r="B65" s="24" t="inlineStr">
        <is>
          <t>$CLI --command='/subsystem=datasources/data-source=*:read-attribute(name=max-pool-size,resolve-expressions=true)'</t>
        </is>
      </c>
      <c r="C65" s="25" t="n"/>
      <c r="D65" s="25" t="n"/>
      <c r="E65" s="26" t="n"/>
    </row>
    <row r="66" ht="15.75" customHeight="1">
      <c r="B66" s="24" t="inlineStr">
        <is>
          <t>$CLI --command='/subsystem=datasources/data-source=*:read-attribute(name=blocking-timeout-wait-millis,resolve-expressions=true)'</t>
        </is>
      </c>
      <c r="C66" s="25" t="n"/>
      <c r="D66" s="25" t="n"/>
      <c r="E66" s="26" t="n"/>
    </row>
    <row r="67" ht="15.75" customHeight="1">
      <c r="B67" s="24" t="inlineStr">
        <is>
          <t>$CLI --command='/subsystem=datasources/data-source=*:read-attribute(name=idle-timeout-minutes,resolve-expressions=true)'</t>
        </is>
      </c>
      <c r="C67" s="25" t="n"/>
      <c r="D67" s="25" t="n"/>
      <c r="E67" s="26" t="n"/>
    </row>
    <row r="68" ht="15.75" customHeight="1">
      <c r="B68" s="24" t="n"/>
      <c r="C68" s="25" t="n"/>
      <c r="D68" s="25" t="n"/>
      <c r="E68" s="26" t="n"/>
    </row>
    <row r="69" ht="15.75" customHeight="1">
      <c r="B69" s="24" t="inlineStr">
        <is>
          <t># 統計を今すぐ ON（実行時だけ。reload／再起動で元に戻る）</t>
        </is>
      </c>
      <c r="C69" s="25" t="n"/>
      <c r="D69" s="25" t="n"/>
      <c r="E69" s="26" t="n"/>
    </row>
    <row r="70" ht="15.75" customHeight="1">
      <c r="B70" s="27" t="inlineStr">
        <is>
          <t>$CLI --command='/subsystem=datasources/data-source=ExampleDS/statistics=pool:write-attribute(name=statistics-enabled,value=true)'</t>
        </is>
      </c>
      <c r="C70" s="28" t="n"/>
      <c r="D70" s="28" t="n"/>
      <c r="E70" s="29" t="n"/>
    </row>
    <row r="71" ht="8" customHeight="1"/>
    <row r="72" ht="6" customHeight="1"/>
    <row r="73" ht="24" customHeight="1">
      <c r="B73" s="15" t="inlineStr">
        <is>
          <t>■ ログでの確認（あふれ・タイムアウトの痕跡）</t>
        </is>
      </c>
      <c r="C73" s="16" t="n"/>
      <c r="D73" s="16" t="n"/>
      <c r="E73" s="16" t="n"/>
    </row>
    <row r="74" ht="4" customHeight="1"/>
    <row r="75" ht="18" customHeight="1">
      <c r="B75" s="20" t="inlineStr">
        <is>
          <t>▼ bash／PowerShell　（コピーは B 列のコード行だけを縦に選択）</t>
        </is>
      </c>
      <c r="C75" s="4" t="n"/>
      <c r="D75" s="4" t="n"/>
      <c r="E75" s="4" t="n"/>
    </row>
    <row r="76" ht="15.75" customHeight="1">
      <c r="B76" s="21" t="inlineStr">
        <is>
          <t># Docker Compose：直近 1 時間のコンテナログからプール関連のエラーを探す（bash）</t>
        </is>
      </c>
      <c r="C76" s="22" t="n"/>
      <c r="D76" s="22" t="n"/>
      <c r="E76" s="23" t="n"/>
    </row>
    <row r="77" ht="15.75" customHeight="1">
      <c r="B77" s="24" t="inlineStr">
        <is>
          <t>docker compose logs --since 1h back 2&gt;&amp;1 | grep -E "IJ000453|IJ000655|IJ000604|IJ030027|IJ000100"</t>
        </is>
      </c>
      <c r="C77" s="25" t="n"/>
      <c r="D77" s="25" t="n"/>
      <c r="E77" s="26" t="n"/>
    </row>
    <row r="78" ht="15.75" customHeight="1">
      <c r="B78" s="24" t="n"/>
      <c r="C78" s="25" t="n"/>
      <c r="D78" s="25" t="n"/>
      <c r="E78" s="26" t="n"/>
    </row>
    <row r="79" ht="15.75" customHeight="1">
      <c r="B79" s="24" t="inlineStr">
        <is>
          <t># 同じことを PowerShell で</t>
        </is>
      </c>
      <c r="C79" s="25" t="n"/>
      <c r="D79" s="25" t="n"/>
      <c r="E79" s="26" t="n"/>
    </row>
    <row r="80" ht="15.75" customHeight="1">
      <c r="B80" s="24" t="inlineStr">
        <is>
          <t>docker compose logs --since 1h back 2&gt;&amp;1 | Select-String -Pattern "IJ000453|IJ000655|IJ000604|IJ030027|IJ000100"</t>
        </is>
      </c>
      <c r="C80" s="25" t="n"/>
      <c r="D80" s="25" t="n"/>
      <c r="E80" s="26" t="n"/>
    </row>
    <row r="81" ht="15.75" customHeight="1">
      <c r="B81" s="24" t="n"/>
      <c r="C81" s="25" t="n"/>
      <c r="D81" s="25" t="n"/>
      <c r="E81" s="26" t="n"/>
    </row>
    <row r="82" ht="15.75" customHeight="1">
      <c r="B82" s="24" t="inlineStr">
        <is>
          <t># ECS（CloudWatch Logs）：ロググループを直近 1 時間さかのぼって表示（AWS CLI v2）</t>
        </is>
      </c>
      <c r="C82" s="25" t="n"/>
      <c r="D82" s="25" t="n"/>
      <c r="E82" s="26" t="n"/>
    </row>
    <row r="83" ht="15.75" customHeight="1">
      <c r="B83" s="24" t="inlineStr">
        <is>
          <t>aws logs tail /ecs/my-app --since 1h --format short --region ap-northeast-1 --filter-pattern "?IJ000453 ?IJ000655 ?IJ000604 ?IJ030027"</t>
        </is>
      </c>
      <c r="C83" s="25" t="n"/>
      <c r="D83" s="25" t="n"/>
      <c r="E83" s="26" t="n"/>
    </row>
    <row r="84" ht="15.75" customHeight="1">
      <c r="B84" s="24" t="n"/>
      <c r="C84" s="25" t="n"/>
      <c r="D84" s="25" t="n"/>
      <c r="E84" s="26" t="n"/>
    </row>
    <row r="85" ht="15.75" customHeight="1">
      <c r="B85" s="24" t="inlineStr">
        <is>
          <t># コンテナの中にログファイルがある構成なら</t>
        </is>
      </c>
      <c r="C85" s="25" t="n"/>
      <c r="D85" s="25" t="n"/>
      <c r="E85" s="26" t="n"/>
    </row>
    <row r="86" ht="15.75" customHeight="1">
      <c r="B86" s="27" t="inlineStr">
        <is>
          <t>grep -E "IJ000453|IJ000655" "${JBOSS_HOME:-/opt/server}/standalone/log/server.log" | tail -n 50</t>
        </is>
      </c>
      <c r="C86" s="28" t="n"/>
      <c r="D86" s="28" t="n"/>
      <c r="E86" s="29" t="n"/>
    </row>
    <row r="87" ht="8" customHeight="1"/>
    <row r="88" ht="18" customHeight="1">
      <c r="B88" s="20" t="inlineStr">
        <is>
          <t>▼ CloudWatch Logs Insights のクエリ　（コピーは B 列のコード行だけを縦に選択）</t>
        </is>
      </c>
      <c r="C88" s="4" t="n"/>
      <c r="D88" s="4" t="n"/>
      <c r="E88" s="4" t="n"/>
    </row>
    <row r="89" ht="15.75" customHeight="1">
      <c r="B89" s="21" t="inlineStr">
        <is>
          <t>fields @timestamp, @logStream, @message</t>
        </is>
      </c>
      <c r="C89" s="22" t="n"/>
      <c r="D89" s="22" t="n"/>
      <c r="E89" s="23" t="n"/>
    </row>
    <row r="90" ht="15.75" customHeight="1">
      <c r="B90" s="24" t="inlineStr">
        <is>
          <t>| filter @message like /IJ000453|IJ000655|IJ000604|IJ030027|IJ000100/</t>
        </is>
      </c>
      <c r="C90" s="25" t="n"/>
      <c r="D90" s="25" t="n"/>
      <c r="E90" s="26" t="n"/>
    </row>
    <row r="91" ht="15.75" customHeight="1">
      <c r="B91" s="24" t="inlineStr">
        <is>
          <t>| sort @timestamp desc</t>
        </is>
      </c>
      <c r="C91" s="25" t="n"/>
      <c r="D91" s="25" t="n"/>
      <c r="E91" s="26" t="n"/>
    </row>
    <row r="92" ht="15.75" customHeight="1">
      <c r="B92" s="27" t="inlineStr">
        <is>
          <t>| limit 200</t>
        </is>
      </c>
      <c r="C92" s="28" t="n"/>
      <c r="D92" s="28" t="n"/>
      <c r="E92" s="29" t="n"/>
    </row>
    <row r="93" ht="8" customHeight="1"/>
    <row r="94" ht="22.5" customHeight="1">
      <c r="B94" s="7" t="inlineStr">
        <is>
          <t>メッセージ ID</t>
        </is>
      </c>
      <c r="C94" s="7" t="inlineStr">
        <is>
          <t>意味</t>
        </is>
      </c>
      <c r="D94" s="7" t="inlineStr">
        <is>
          <t>読み取り方</t>
        </is>
      </c>
      <c r="E94" s="8" t="n"/>
    </row>
    <row r="95" ht="39" customHeight="1">
      <c r="B95" s="9" t="inlineStr">
        <is>
          <t>IJ000655</t>
        </is>
      </c>
      <c r="C95" s="10" t="inlineStr">
        <is>
          <t>No managed connections available within configured blocking timeout</t>
        </is>
      </c>
      <c r="D95" s="10" t="inlineStr">
        <is>
          <t>待ち時間（blocking-timeout）を過ぎても空きが出なかった＝あふれ</t>
        </is>
      </c>
      <c r="E95" s="11" t="n"/>
    </row>
    <row r="96" ht="39" customHeight="1">
      <c r="B96" s="12" t="inlineStr">
        <is>
          <t>IJ000453</t>
        </is>
      </c>
      <c r="C96" s="13" t="inlineStr">
        <is>
          <t>Unable to get managed connection for &lt;JNDI 名&gt;</t>
        </is>
      </c>
      <c r="D96" s="13" t="inlineStr">
        <is>
          <t>アプリから見た「接続が取れない」エラー（多くは IJ000655 が原因）</t>
        </is>
      </c>
      <c r="E96" s="14" t="n"/>
    </row>
    <row r="97" ht="39" customHeight="1">
      <c r="B97" s="9" t="inlineStr">
        <is>
          <t>IJ000604</t>
        </is>
      </c>
      <c r="C97" s="10" t="inlineStr">
        <is>
          <t>Throwable while attempting to get a new connection</t>
        </is>
      </c>
      <c r="D97" s="10" t="inlineStr">
        <is>
          <t>新しい接続を作れなかった（DB 停止・認証・ネットワーク）</t>
        </is>
      </c>
      <c r="E97" s="11" t="n"/>
    </row>
    <row r="98" ht="39" customHeight="1">
      <c r="B98" s="12" t="inlineStr">
        <is>
          <t>IJ030027</t>
        </is>
      </c>
      <c r="C98" s="13" t="inlineStr">
        <is>
          <t>Destroying connection that is not valid</t>
        </is>
      </c>
      <c r="D98" s="13" t="inlineStr">
        <is>
          <t>検証に失敗した接続を捨てた（DB 再起動・フェイルオーバー後に多い）</t>
        </is>
      </c>
      <c r="E98" s="14" t="n"/>
    </row>
    <row r="99" ht="39" customHeight="1">
      <c r="B99" s="9" t="inlineStr">
        <is>
          <t>IJ000100</t>
        </is>
      </c>
      <c r="C99" s="10" t="inlineStr">
        <is>
          <t>Closing a connection for you. Please close them yourself</t>
        </is>
      </c>
      <c r="D99" s="10" t="inlineStr">
        <is>
          <t>アプリが接続を返し忘れた（リーク）。CCM（cached-connection-manager）の debug 設定時に出る</t>
        </is>
      </c>
      <c r="E99" s="11" t="n"/>
    </row>
    <row r="100" ht="8" customHeight="1"/>
    <row r="101" ht="43" customHeight="1">
      <c r="B101" s="18" t="inlineStr">
        <is>
          <t>※ スレッドダンプ（全スレッドの状態）が欲しいときは、jbpool を一度実行したあとの同じシェルで「kill -3 $JBP_PID」と打つと、JBoss の標準出力（＝コンテナログ／CloudWatch Logs）にスレッドダンプが出ます。SIGQUIT は JVM を止めずにダンプだけを出す合図です。</t>
        </is>
      </c>
      <c r="C101" s="19" t="n"/>
      <c r="D101" s="19" t="n"/>
      <c r="E101" s="19" t="n"/>
    </row>
    <row r="102" ht="8" customHeight="1"/>
  </sheetData>
  <mergeCells count="30">
    <mergeCell ref="D34:E34"/>
    <mergeCell ref="D99:E99"/>
    <mergeCell ref="B5:E5"/>
    <mergeCell ref="B20:E20"/>
    <mergeCell ref="D36:E36"/>
    <mergeCell ref="D40:E40"/>
    <mergeCell ref="D96:E96"/>
    <mergeCell ref="D45:E45"/>
    <mergeCell ref="B32:E32"/>
    <mergeCell ref="D95:E95"/>
    <mergeCell ref="B50:E50"/>
    <mergeCell ref="B75:E75"/>
    <mergeCell ref="D41:E41"/>
    <mergeCell ref="D97:E97"/>
    <mergeCell ref="B18:E18"/>
    <mergeCell ref="D43:E43"/>
    <mergeCell ref="D37:E37"/>
    <mergeCell ref="B48:E48"/>
    <mergeCell ref="B2:E2"/>
    <mergeCell ref="B101:E101"/>
    <mergeCell ref="D39:E39"/>
    <mergeCell ref="B1:E1"/>
    <mergeCell ref="D42:E42"/>
    <mergeCell ref="B73:E73"/>
    <mergeCell ref="B88:E88"/>
    <mergeCell ref="D98:E98"/>
    <mergeCell ref="D38:E38"/>
    <mergeCell ref="D94:E94"/>
    <mergeCell ref="D44:E44"/>
    <mergeCell ref="D35:E35"/>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7.xml><?xml version="1.0" encoding="utf-8"?>
<worksheet xmlns="http://schemas.openxmlformats.org/spreadsheetml/2006/main">
  <sheetPr>
    <tabColor rgb="00595959"/>
    <outlinePr summaryBelow="1" summaryRight="1"/>
    <pageSetUpPr fitToPage="1"/>
  </sheetPr>
  <dimension ref="B1:E197"/>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22" customWidth="1" min="2" max="2"/>
    <col width="36" customWidth="1" min="3" max="3"/>
    <col width="46" customWidth="1" min="4" max="4"/>
    <col width="44"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34" customHeight="1">
      <c r="B1" s="1" t="inlineStr">
        <is>
          <t>出力の見方 ― 実際の画面と、各項目の意味</t>
        </is>
      </c>
      <c r="C1" s="2" t="n"/>
      <c r="D1" s="2" t="n"/>
      <c r="E1" s="2" t="n"/>
    </row>
    <row r="2" ht="18" customHeight="1">
      <c r="B2" s="3" t="inlineStr">
        <is>
          <t>JBoss EAP コネクションプール確認コマンド「jbpool」解説書　｜　2026-10-17</t>
        </is>
      </c>
      <c r="C2" s="4" t="n"/>
      <c r="D2" s="4" t="n"/>
      <c r="E2" s="4" t="n"/>
    </row>
    <row r="3" ht="10" customHeight="1"/>
    <row r="4" ht="29.325" customHeight="1">
      <c r="B4" s="5" t="inlineStr">
        <is>
          <t>ここに載せた出力は、08_検証結果のテストで実際に出たものです（WildFly 41、バック側、max-pool-size=3 に対して 6 本同時にリクエスト）。</t>
        </is>
      </c>
      <c r="C4" s="6" t="n"/>
      <c r="D4" s="6" t="n"/>
      <c r="E4" s="6" t="n"/>
    </row>
    <row r="5" ht="8" customHeight="1"/>
    <row r="6" ht="43" customHeight="1">
      <c r="B6" s="18" t="inlineStr">
        <is>
          <t>※ Excel 版は全体を Meiryo UI（文字ごとに幅がちがうフォント）で表示しているため、実際の画面とくらべて列の位置が少しずれて見えます。端末の画面と同じ見た目で確認したいときは md 版（等幅表示）をご覧ください。</t>
        </is>
      </c>
      <c r="C6" s="19" t="n"/>
      <c r="D6" s="19" t="n"/>
      <c r="E6" s="19" t="n"/>
    </row>
    <row r="7" ht="8" customHeight="1"/>
    <row r="8" ht="6" customHeight="1"/>
    <row r="9" ht="24" customHeight="1">
      <c r="B9" s="15" t="inlineStr">
        <is>
          <t>■ snapshot の実例（あふれている最中）</t>
        </is>
      </c>
      <c r="C9" s="16" t="n"/>
      <c r="D9" s="16" t="n"/>
      <c r="E9" s="16" t="n"/>
    </row>
    <row r="10" ht="4" customHeight="1"/>
    <row r="11" ht="18" customHeight="1">
      <c r="B11" s="20" t="inlineStr">
        <is>
          <t>▼ jbpool（snapshot）　（コピーは B 列のコード行だけを縦に選択）</t>
        </is>
      </c>
      <c r="C11" s="4" t="n"/>
      <c r="D11" s="4" t="n"/>
      <c r="E11" s="4" t="n"/>
    </row>
    <row r="12" ht="15.75" customHeight="1">
      <c r="B12" s="21" t="inlineStr">
        <is>
          <t>[jbpool] target=back  controller=remote+http://127.0.0.1:10090  cli=/opt/jboss/wildfly/bin/jboss-cli.sh  server-pid=125</t>
        </is>
      </c>
      <c r="C12" s="22" t="n"/>
      <c r="D12" s="22" t="n"/>
      <c r="E12" s="23" t="n"/>
    </row>
    <row r="13" ht="15.75" customHeight="1">
      <c r="B13" s="24" t="inlineStr">
        <is>
          <t>==========================================================================================</t>
        </is>
      </c>
      <c r="C13" s="25" t="n"/>
      <c r="D13" s="25" t="n"/>
      <c r="E13" s="26" t="n"/>
    </row>
    <row r="14" ht="15.75" customHeight="1">
      <c r="B14" s="24" t="inlineStr">
        <is>
          <t xml:space="preserve"> JBoss connection pool snapshot : 2026-10-17 07:02:42 JST</t>
        </is>
      </c>
      <c r="C14" s="25" t="n"/>
      <c r="D14" s="25" t="n"/>
      <c r="E14" s="26" t="n"/>
    </row>
    <row r="15" ht="15.75" customHeight="1">
      <c r="B15" s="24" t="inlineStr">
        <is>
          <t xml:space="preserve"> target    : back   (host 2d260dddc5a0)</t>
        </is>
      </c>
      <c r="C15" s="25" t="n"/>
      <c r="D15" s="25" t="n"/>
      <c r="E15" s="26" t="n"/>
    </row>
    <row r="16" ht="15.75" customHeight="1">
      <c r="B16" s="24" t="inlineStr">
        <is>
          <t xml:space="preserve"> server    : WildFly 41.0.1.Final  state=running  controller=remote+http://127.0.0.1:10090</t>
        </is>
      </c>
      <c r="C16" s="25" t="n"/>
      <c r="D16" s="25" t="n"/>
      <c r="E16" s="26" t="n"/>
    </row>
    <row r="17" ht="15.75" customHeight="1">
      <c r="B17" s="24" t="inlineStr">
        <is>
          <t xml:space="preserve"> idle check: IdleRemover wakes every 30s (smallest idle-timeout 1 min / 2), a pool is checked max once/min -&gt; gap &lt;= 1m30s</t>
        </is>
      </c>
      <c r="C17" s="25" t="n"/>
      <c r="D17" s="25" t="n"/>
      <c r="E17" s="26" t="n"/>
    </row>
    <row r="18" ht="15.75" customHeight="1">
      <c r="B18" s="24" t="inlineStr">
        <is>
          <t xml:space="preserve"> io worker : default  busy 6 / max 64  queue 0</t>
        </is>
      </c>
      <c r="C18" s="25" t="n"/>
      <c r="D18" s="25" t="n"/>
      <c r="E18" s="26" t="n"/>
    </row>
    <row r="19" ht="15.75" customHeight="1">
      <c r="B19" s="24" t="inlineStr">
        <is>
          <t>------------------------------------------------------------------------------------------</t>
        </is>
      </c>
      <c r="C19" s="25" t="n"/>
      <c r="D19" s="25" t="n"/>
      <c r="E19" s="26" t="n"/>
    </row>
    <row r="20" ht="15.75" customHeight="1">
      <c r="B20" s="24" t="inlineStr">
        <is>
          <t xml:space="preserve"> [ExampleDS] data-source  java:jboss/datasources/ExampleDS   STATUS: OVERFLOW</t>
        </is>
      </c>
      <c r="C20" s="25" t="n"/>
      <c r="D20" s="25" t="n"/>
      <c r="E20" s="26" t="n"/>
    </row>
    <row r="21" ht="15.75" customHeight="1">
      <c r="B21" s="24" t="inlineStr">
        <is>
          <t xml:space="preserve">   config   : min 1 / initial - / max 3   prefill=false* strict-min=false* fair=true*</t>
        </is>
      </c>
      <c r="C21" s="25" t="n"/>
      <c r="D21" s="25" t="n"/>
      <c r="E21" s="26" t="n"/>
    </row>
    <row r="22" ht="15.75" customHeight="1">
      <c r="B22" s="24" t="inlineStr">
        <is>
          <t xml:space="preserve">              blocking-timeout 10000ms  idle-timeout 1min  allocation-retry 0* x 0*ms</t>
        </is>
      </c>
      <c r="C22" s="25" t="n"/>
      <c r="D22" s="25" t="n"/>
      <c r="E22" s="26" t="n"/>
    </row>
    <row r="23" ht="15.75" customHeight="1">
      <c r="B23" s="24" t="inlineStr">
        <is>
          <t xml:space="preserve">              flush=FailingConnectionOnly*  background-validation=false* (-ms)  validate-on-match=false*   (*=default)</t>
        </is>
      </c>
      <c r="C23" s="25" t="n"/>
      <c r="D23" s="25" t="n"/>
      <c r="E23" s="26" t="n"/>
    </row>
    <row r="24" ht="15.75" customHeight="1">
      <c r="B24" s="24" t="inlineStr">
        <is>
          <t xml:space="preserve">   now      : in-use 3 + idle 0 = active 3 / max 3   (use 100%, free permits 0)</t>
        </is>
      </c>
      <c r="C24" s="25" t="n"/>
      <c r="D24" s="25" t="n"/>
      <c r="E24" s="26" t="n"/>
    </row>
    <row r="25" ht="15.75" customHeight="1">
      <c r="B25" s="24" t="inlineStr">
        <is>
          <t xml:space="preserve">   peak     : max-used 3   max-waiting 3   max-wait 1ms   max-get 189ms</t>
        </is>
      </c>
      <c r="C25" s="25" t="n"/>
      <c r="D25" s="25" t="n"/>
      <c r="E25" s="26" t="n"/>
    </row>
    <row r="26" ht="15.75" customHeight="1">
      <c r="B26" s="24" t="inlineStr">
        <is>
          <t xml:space="preserve">   total    : created 15  destroyed 12 (idle-timeout 12, other 0)  waited 15  timeouts 12</t>
        </is>
      </c>
      <c r="C26" s="25" t="n"/>
      <c r="D26" s="25" t="n"/>
      <c r="E26" s="26" t="n"/>
    </row>
    <row r="27" ht="15.75" customHeight="1">
      <c r="B27" s="24" t="inlineStr">
        <is>
          <t xml:space="preserve">   timing   : avg-get 38ms   avg-create 37ms   avg-usage 16834ms   max-usage 25005ms</t>
        </is>
      </c>
      <c r="C27" s="25" t="n"/>
      <c r="D27" s="25" t="n"/>
      <c r="E27" s="26" t="n"/>
    </row>
    <row r="28" ht="15.75" customHeight="1">
      <c r="B28" s="24" t="inlineStr">
        <is>
          <t xml:space="preserve">   queue    : 3 thread(s) WAITING for a connection (pool overflow)</t>
        </is>
      </c>
      <c r="C28" s="25" t="n"/>
      <c r="D28" s="25" t="n"/>
      <c r="E28" s="26" t="n"/>
    </row>
    <row r="29" ht="15.75" customHeight="1">
      <c r="B29" s="24" t="inlineStr">
        <is>
          <t xml:space="preserve">              default task-21 (&lt;=07:02:52), default task-22 (&lt;=07:02:52), default task-23 (&lt;=07:02:52)</t>
        </is>
      </c>
      <c r="C29" s="25" t="n"/>
      <c r="D29" s="25" t="n"/>
      <c r="E29" s="26" t="n"/>
    </row>
    <row r="30" ht="15.75" customHeight="1">
      <c r="B30" s="24" t="inlineStr">
        <is>
          <t xml:space="preserve">   forecast : waiting threads get a connection or fail with IJ000655 by &lt;= 07:02:52 (wait limit 10s)</t>
        </is>
      </c>
      <c r="C30" s="25" t="n"/>
      <c r="D30" s="25" t="n"/>
      <c r="E30" s="26" t="n"/>
    </row>
    <row r="31" ht="15.75" customHeight="1">
      <c r="B31" s="24" t="inlineStr">
        <is>
          <t xml:space="preserve">   advice   : pool reached max-pool-size (MaxUsedCount=3). guide: max-pool-size &gt;= acceptable MaxUsedCount x 1.15, check slow SQL / leaks</t>
        </is>
      </c>
      <c r="C31" s="25" t="n"/>
      <c r="D31" s="25" t="n"/>
      <c r="E31" s="26" t="n"/>
    </row>
    <row r="32" ht="15.75" customHeight="1">
      <c r="B32" s="24" t="inlineStr">
        <is>
          <t xml:space="preserve">            : 12 request(s) timed out waiting (look for IJ000453 / IJ000655 in the log)</t>
        </is>
      </c>
      <c r="C32" s="25" t="n"/>
      <c r="D32" s="25" t="n"/>
      <c r="E32" s="26" t="n"/>
    </row>
    <row r="33" ht="15.75" customHeight="1">
      <c r="B33" s="24" t="inlineStr">
        <is>
          <t xml:space="preserve">            : requests are queuing now -&gt; jbpool threads  (shows which code is waiting)</t>
        </is>
      </c>
      <c r="C33" s="25" t="n"/>
      <c r="D33" s="25" t="n"/>
      <c r="E33" s="26" t="n"/>
    </row>
    <row r="34" ht="15.75" customHeight="1">
      <c r="B34" s="24" t="inlineStr">
        <is>
          <t xml:space="preserve">            : min-pool-size 1 is NOT kept after idle-timeout (pool-prefill / pool-use-strict-min are false)</t>
        </is>
      </c>
      <c r="C34" s="25" t="n"/>
      <c r="D34" s="25" t="n"/>
      <c r="E34" s="26" t="n"/>
    </row>
    <row r="35" ht="15.75" customHeight="1">
      <c r="B35" s="27" t="inlineStr">
        <is>
          <t>==========================================================================================</t>
        </is>
      </c>
      <c r="C35" s="28" t="n"/>
      <c r="D35" s="28" t="n"/>
      <c r="E35" s="29" t="n"/>
    </row>
    <row r="36" ht="8" customHeight="1"/>
    <row r="37" ht="6" customHeight="1"/>
    <row r="38" ht="24" customHeight="1">
      <c r="B38" s="15" t="inlineStr">
        <is>
          <t>■ snapshot の各行の意味</t>
        </is>
      </c>
      <c r="C38" s="16" t="n"/>
      <c r="D38" s="16" t="n"/>
      <c r="E38" s="16" t="n"/>
    </row>
    <row r="39" ht="4" customHeight="1"/>
    <row r="40" ht="22.5" customHeight="1">
      <c r="B40" s="7" t="inlineStr">
        <is>
          <t>表示</t>
        </is>
      </c>
      <c r="C40" s="7" t="inlineStr">
        <is>
          <t>元データ（JBoss の属性・操作）</t>
        </is>
      </c>
      <c r="D40" s="7" t="inlineStr">
        <is>
          <t>意味</t>
        </is>
      </c>
      <c r="E40" s="7" t="inlineStr">
        <is>
          <t>こども向け</t>
        </is>
      </c>
    </row>
    <row r="41" ht="39" customHeight="1">
      <c r="B41" s="9" t="inlineStr">
        <is>
          <t>target</t>
        </is>
      </c>
      <c r="C41" s="10" t="inlineStr">
        <is>
          <t>ECS メタデータ v4 のコンテナ名／ホスト名／JBP_LABEL</t>
        </is>
      </c>
      <c r="D41" s="10" t="inlineStr">
        <is>
          <t>どのコンテナを見ているか（front か back か）</t>
        </is>
      </c>
      <c r="E41" s="10" t="inlineStr">
        <is>
          <t>どの係の傘立てか</t>
        </is>
      </c>
    </row>
    <row r="42" ht="39" customHeight="1">
      <c r="B42" s="12" t="inlineStr">
        <is>
          <t>server</t>
        </is>
      </c>
      <c r="C42" s="13" t="inlineStr">
        <is>
          <t>ルートの product-name／product-version／server-state</t>
        </is>
      </c>
      <c r="D42" s="13" t="inlineStr">
        <is>
          <t>製品と版、状態（running、reload-required など）</t>
        </is>
      </c>
      <c r="E42" s="13" t="inlineStr">
        <is>
          <t>お店の名前と、開いているか</t>
        </is>
      </c>
    </row>
    <row r="43" ht="39" customHeight="1">
      <c r="B43" s="9" t="inlineStr">
        <is>
          <t>memory</t>
        </is>
      </c>
      <c r="C43" s="10" t="inlineStr">
        <is>
          <t>cgroup の memory.current／memory.max</t>
        </is>
      </c>
      <c r="D43" s="10" t="inlineStr">
        <is>
          <t>コンテナのメモリ使用量と上限（CLI を動かす余裕があるか）</t>
        </is>
      </c>
      <c r="E43" s="10" t="inlineStr">
        <is>
          <t>お店の広さの残り</t>
        </is>
      </c>
    </row>
    <row r="44" ht="55.5" customHeight="1">
      <c r="B44" s="12" t="inlineStr">
        <is>
          <t>idle check</t>
        </is>
      </c>
      <c r="C44" s="13" t="inlineStr">
        <is>
          <t>全プールの idle-timeout-minutes の最小値 ÷ 2、1 プール 1 分 1 回の制限</t>
        </is>
      </c>
      <c r="D44" s="13" t="inlineStr">
        <is>
          <t>片付け係が起きる間隔と、1 つのプールが調べられる最大間隔</t>
        </is>
      </c>
      <c r="E44" s="13" t="inlineStr">
        <is>
          <t>用務員さんの見回り間隔</t>
        </is>
      </c>
    </row>
    <row r="45" ht="39" customHeight="1">
      <c r="B45" s="9" t="inlineStr">
        <is>
          <t>io worker</t>
        </is>
      </c>
      <c r="C45" s="10" t="inlineStr">
        <is>
          <t>/subsystem=io/worker=*（busy-task-thread-count など）</t>
        </is>
      </c>
      <c r="D45" s="10" t="inlineStr">
        <is>
          <t>HTTP を処理する作業スレッドの使用状況（プールの手前の混雑）</t>
        </is>
      </c>
      <c r="E45" s="10" t="inlineStr">
        <is>
          <t>受付の窓口の混み具合</t>
        </is>
      </c>
    </row>
    <row r="46" ht="22.5" customHeight="1">
      <c r="B46" s="12" t="inlineStr">
        <is>
          <t>STATUS</t>
        </is>
      </c>
      <c r="C46" s="13" t="inlineStr">
        <is>
          <t>下の「STATUS 一覧」参照</t>
        </is>
      </c>
      <c r="D46" s="13" t="inlineStr">
        <is>
          <t>ひとことでの判定</t>
        </is>
      </c>
      <c r="E46" s="13" t="inlineStr">
        <is>
          <t>晴れ／くもり／雨</t>
        </is>
      </c>
    </row>
    <row r="47" ht="55.5" customHeight="1">
      <c r="B47" s="9" t="inlineStr">
        <is>
          <t>config</t>
        </is>
      </c>
      <c r="C47" s="10" t="inlineStr">
        <is>
          <t>min-pool-size／initial-pool-size／max-pool-size／pool-prefill／pool-use-strict-min／pool-fair ほか</t>
        </is>
      </c>
      <c r="D47" s="10" t="inlineStr">
        <is>
          <t>プールの決まりごと。末尾の * は「未設定なので既定値」</t>
        </is>
      </c>
      <c r="E47" s="10" t="inlineStr">
        <is>
          <t>傘立てのルール</t>
        </is>
      </c>
    </row>
    <row r="48" ht="39" customHeight="1">
      <c r="B48" s="12" t="inlineStr">
        <is>
          <t>now</t>
        </is>
      </c>
      <c r="C48" s="13" t="inlineStr">
        <is>
          <t>InUseCount／IdleCount／ActiveCount／AvailableCount</t>
        </is>
      </c>
      <c r="D48" s="13" t="inlineStr">
        <is>
          <t>いま貸し出し中＋休み中＝合計／最大、使用率、まだ貸せる枠</t>
        </is>
      </c>
      <c r="E48" s="13" t="inlineStr">
        <is>
          <t>いまの傘の数</t>
        </is>
      </c>
    </row>
    <row r="49" ht="39" customHeight="1">
      <c r="B49" s="9" t="inlineStr">
        <is>
          <t>peak</t>
        </is>
      </c>
      <c r="C49" s="10" t="inlineStr">
        <is>
          <t>MaxUsedCount／MaxWaitCount／MaxWaitTime／MaxGetTime</t>
        </is>
      </c>
      <c r="D49" s="10" t="inlineStr">
        <is>
          <t>統計 ON 以降の最大値（いちばん混んだとき）</t>
        </is>
      </c>
      <c r="E49" s="10" t="inlineStr">
        <is>
          <t>いちばん混んだ日の記録</t>
        </is>
      </c>
    </row>
    <row r="50" ht="55.5" customHeight="1">
      <c r="B50" s="12" t="inlineStr">
        <is>
          <t>total</t>
        </is>
      </c>
      <c r="C50" s="13" t="inlineStr">
        <is>
          <t>CreatedCount／DestroyedCount／TimedOut／WaitCount／BlockingFailureCount</t>
        </is>
      </c>
      <c r="D50" s="13" t="inlineStr">
        <is>
          <t>累計：作った・捨てた（うちアイドル片付け）・待った・タイムアウトした</t>
        </is>
      </c>
      <c r="E50" s="13" t="inlineStr">
        <is>
          <t>ノートの合計</t>
        </is>
      </c>
    </row>
    <row r="51" ht="55.5" customHeight="1">
      <c r="B51" s="9" t="inlineStr">
        <is>
          <t>timing</t>
        </is>
      </c>
      <c r="C51" s="10" t="inlineStr">
        <is>
          <t>AverageGetTime／AverageCreationTime／AverageUsageTime／MaxUsageTime（ms）</t>
        </is>
      </c>
      <c r="D51" s="10" t="inlineStr">
        <is>
          <t>借りるまで・作るまで・使っていた時間の平均と最大</t>
        </is>
      </c>
      <c r="E51" s="10" t="inlineStr">
        <is>
          <t>借りるのにかかった時間</t>
        </is>
      </c>
    </row>
    <row r="52" ht="39" customHeight="1">
      <c r="B52" s="12" t="inlineStr">
        <is>
          <t>queue</t>
        </is>
      </c>
      <c r="C52" s="13" t="inlineStr">
        <is>
          <t>dump-queued-threads-in-pool の結果</t>
        </is>
      </c>
      <c r="D52" s="13" t="inlineStr">
        <is>
          <t>いま並んでいるスレッドの数と名前、それぞれの「遅くともこの時刻まで」</t>
        </is>
      </c>
      <c r="E52" s="13" t="inlineStr">
        <is>
          <t>並んでいる子の名前</t>
        </is>
      </c>
    </row>
    <row r="53" ht="22.5" customHeight="1">
      <c r="B53" s="9" t="inlineStr">
        <is>
          <t>forecast</t>
        </is>
      </c>
      <c r="C53" s="10" t="inlineStr">
        <is>
          <t>上の値＋設定値から計算（07 参照）</t>
        </is>
      </c>
      <c r="D53" s="10" t="inlineStr">
        <is>
          <t>待ちの解消予定、余った接続の片付け予定</t>
        </is>
      </c>
      <c r="E53" s="10" t="inlineStr">
        <is>
          <t>いつ解決しそうか</t>
        </is>
      </c>
    </row>
    <row r="54" ht="22.5" customHeight="1">
      <c r="B54" s="12" t="inlineStr">
        <is>
          <t>advice</t>
        </is>
      </c>
      <c r="C54" s="13" t="inlineStr">
        <is>
          <t>しきい値による自動コメント</t>
        </is>
      </c>
      <c r="D54" s="13" t="inlineStr">
        <is>
          <t>次に何を見るべきか</t>
        </is>
      </c>
      <c r="E54" s="13" t="inlineStr">
        <is>
          <t>先生からのひとこと</t>
        </is>
      </c>
    </row>
    <row r="55" ht="8" customHeight="1"/>
    <row r="56" ht="6" customHeight="1"/>
    <row r="57" ht="24" customHeight="1">
      <c r="B57" s="15" t="inlineStr">
        <is>
          <t>■ watch の実例（推移）</t>
        </is>
      </c>
      <c r="C57" s="16" t="n"/>
      <c r="D57" s="16" t="n"/>
      <c r="E57" s="16" t="n"/>
    </row>
    <row r="58" ht="4" customHeight="1"/>
    <row r="59" ht="18" customHeight="1">
      <c r="B59" s="20" t="inlineStr">
        <is>
          <t>▼ jbpool watch 5　（コピーは B 列のコード行だけを縦に選択）</t>
        </is>
      </c>
      <c r="C59" s="4" t="n"/>
      <c r="D59" s="4" t="n"/>
      <c r="E59" s="4" t="n"/>
    </row>
    <row r="60" ht="15.75" customHeight="1">
      <c r="B60" s="21" t="inlineStr">
        <is>
          <t>--- 2026-10-17 07:02:34 JST  #1  back  (WildFly 41.0.1.Final, running)  idle-check&lt;=1m30s ---</t>
        </is>
      </c>
      <c r="C60" s="22" t="n"/>
      <c r="D60" s="22" t="n"/>
      <c r="E60" s="23" t="n"/>
    </row>
    <row r="61" ht="15.75" customHeight="1">
      <c r="B61" s="24" t="inlineStr">
        <is>
          <t>DATASOURCE           STATUS         USE/MAX  USE%  ACT IDLE   NEW   DEL   T/O  WAIT TMOUT QUEUE  MAXU  AVGGET</t>
        </is>
      </c>
      <c r="C61" s="25" t="n"/>
      <c r="D61" s="25" t="n"/>
      <c r="E61" s="26" t="n"/>
    </row>
    <row r="62" ht="15.75" customHeight="1">
      <c r="B62" s="24" t="inlineStr">
        <is>
          <t>ExampleDS            OK                 0/3    0%    0    0     -     -     -     -     -     0     3    48ms</t>
        </is>
      </c>
      <c r="C62" s="25" t="n"/>
      <c r="D62" s="25" t="n"/>
      <c r="E62" s="26" t="n"/>
    </row>
    <row r="63" ht="15.75" customHeight="1">
      <c r="B63" s="24" t="inlineStr">
        <is>
          <t>--- 2026-10-17 07:02:41 JST  #2  back  (WildFly 41.0.1.Final, running)  idle-check&lt;=1m30s ---</t>
        </is>
      </c>
      <c r="C63" s="25" t="n"/>
      <c r="D63" s="25" t="n"/>
      <c r="E63" s="26" t="n"/>
    </row>
    <row r="64" ht="15.75" customHeight="1">
      <c r="B64" s="24" t="inlineStr">
        <is>
          <t>DATASOURCE           STATUS         USE/MAX  USE%  ACT IDLE   NEW   DEL   T/O  WAIT TMOUT QUEUE  MAXU  AVGGET</t>
        </is>
      </c>
      <c r="C64" s="25" t="n"/>
      <c r="D64" s="25" t="n"/>
      <c r="E64" s="26" t="n"/>
    </row>
    <row r="65" ht="15.75" customHeight="1">
      <c r="B65" s="24" t="inlineStr">
        <is>
          <t>ExampleDS            OVERFLOW           3/3  100%    3    0    +3    -0    -0    +3    +0     3     3    38ms</t>
        </is>
      </c>
      <c r="C65" s="25" t="n"/>
      <c r="D65" s="25" t="n"/>
      <c r="E65" s="26" t="n"/>
    </row>
    <row r="66" ht="15.75" customHeight="1">
      <c r="B66" s="24" t="inlineStr">
        <is>
          <t xml:space="preserve">   queue  : 3 waiting -&gt; all resolved by &lt;= 07:02:51 : default task-21 (&lt;=07:02:51), default task-22 (&lt;=07:02:51), default task-23 (&lt;=07:02:51)</t>
        </is>
      </c>
      <c r="C66" s="25" t="n"/>
      <c r="D66" s="25" t="n"/>
      <c r="E66" s="26" t="n"/>
    </row>
    <row r="67" ht="15.75" customHeight="1">
      <c r="B67" s="24" t="inlineStr">
        <is>
          <t xml:space="preserve">   event | pool grew 0-&gt;3 (+3 created) | 3 request(s) had to wait</t>
        </is>
      </c>
      <c r="C67" s="25" t="n"/>
      <c r="D67" s="25" t="n"/>
      <c r="E67" s="26" t="n"/>
    </row>
    <row r="68" ht="15.75" customHeight="1">
      <c r="B68" s="24" t="inlineStr">
        <is>
          <t>--- 2026-10-17 07:02:47 JST  #3  back  (WildFly 41.0.1.Final, running)  idle-check&lt;=1m30s ---</t>
        </is>
      </c>
      <c r="C68" s="25" t="n"/>
      <c r="D68" s="25" t="n"/>
      <c r="E68" s="26" t="n"/>
    </row>
    <row r="69" ht="15.75" customHeight="1">
      <c r="B69" s="24" t="inlineStr">
        <is>
          <t>DATASOURCE           STATUS         USE/MAX  USE%  ACT IDLE   NEW   DEL   T/O  WAIT TMOUT QUEUE  MAXU  AVGGET</t>
        </is>
      </c>
      <c r="C69" s="25" t="n"/>
      <c r="D69" s="25" t="n"/>
      <c r="E69" s="26" t="n"/>
    </row>
    <row r="70" ht="15.75" customHeight="1">
      <c r="B70" s="24" t="inlineStr">
        <is>
          <t>ExampleDS            FULL+TMOUT         3/3  100%    3    0    +0    -0    -0    +0    +3     0     3    38ms</t>
        </is>
      </c>
      <c r="C70" s="25" t="n"/>
      <c r="D70" s="25" t="n"/>
      <c r="E70" s="26" t="n"/>
    </row>
    <row r="71" ht="15.75" customHeight="1">
      <c r="B71" s="24" t="inlineStr">
        <is>
          <t xml:space="preserve">   event | 3 TIMEOUT error(s) IJ000655</t>
        </is>
      </c>
      <c r="C71" s="25" t="n"/>
      <c r="D71" s="25" t="n"/>
      <c r="E71" s="26" t="n"/>
    </row>
    <row r="72" ht="15.75" customHeight="1">
      <c r="B72" s="24" t="inlineStr">
        <is>
          <t>--- 2026-10-17 07:02:54 JST  #4  back  (WildFly 41.0.1.Final, running)  idle-check&lt;=1m30s ---</t>
        </is>
      </c>
      <c r="C72" s="25" t="n"/>
      <c r="D72" s="25" t="n"/>
      <c r="E72" s="26" t="n"/>
    </row>
    <row r="73" ht="15.75" customHeight="1">
      <c r="B73" s="24" t="inlineStr">
        <is>
          <t>DATASOURCE           STATUS         USE/MAX  USE%  ACT IDLE   NEW   DEL   T/O  WAIT TMOUT QUEUE  MAXU  AVGGET</t>
        </is>
      </c>
      <c r="C73" s="25" t="n"/>
      <c r="D73" s="25" t="n"/>
      <c r="E73" s="26" t="n"/>
    </row>
    <row r="74" ht="15.75" customHeight="1">
      <c r="B74" s="24" t="inlineStr">
        <is>
          <t>ExampleDS            FULL               3/3  100%    3    0    +0    -0    -0    +0    +0     0     3    38ms</t>
        </is>
      </c>
      <c r="C74" s="25" t="n"/>
      <c r="D74" s="25" t="n"/>
      <c r="E74" s="26" t="n"/>
    </row>
    <row r="75" ht="15.75" customHeight="1">
      <c r="B75" s="24" t="inlineStr">
        <is>
          <t>--- 2026-10-17 07:03:00 JST  #5  back  (WildFly 41.0.1.Final, running)  idle-check&lt;=1m30s ---</t>
        </is>
      </c>
      <c r="C75" s="25" t="n"/>
      <c r="D75" s="25" t="n"/>
      <c r="E75" s="26" t="n"/>
    </row>
    <row r="76" ht="15.75" customHeight="1">
      <c r="B76" s="24" t="inlineStr">
        <is>
          <t>DATASOURCE           STATUS         USE/MAX  USE%  ACT IDLE   NEW   DEL   T/O  WAIT TMOUT QUEUE  MAXU  AVGGET</t>
        </is>
      </c>
      <c r="C76" s="25" t="n"/>
      <c r="D76" s="25" t="n"/>
      <c r="E76" s="26" t="n"/>
    </row>
    <row r="77" ht="15.75" customHeight="1">
      <c r="B77" s="24" t="inlineStr">
        <is>
          <t>ExampleDS            OK                 2/3   66%    3    1    +0    -0    -0    +0    +0     0     3    38ms</t>
        </is>
      </c>
      <c r="C77" s="25" t="n"/>
      <c r="D77" s="25" t="n"/>
      <c r="E77" s="26" t="n"/>
    </row>
    <row r="78" ht="15.75" customHeight="1">
      <c r="B78" s="24" t="inlineStr">
        <is>
          <t xml:space="preserve">   idle   : 1 idle conn above floor 2 (3-&gt;2) -&gt; closing ~07:03:54 .. 07:05:30 (est.)</t>
        </is>
      </c>
      <c r="C78" s="25" t="n"/>
      <c r="D78" s="25" t="n"/>
      <c r="E78" s="26" t="n"/>
    </row>
    <row r="79" ht="15.75" customHeight="1">
      <c r="B79" s="24" t="inlineStr">
        <is>
          <t>--- 2026-10-17 07:03:07 JST  #6  back  (WildFly 41.0.1.Final, running)  idle-check&lt;=1m30s ---</t>
        </is>
      </c>
      <c r="C79" s="25" t="n"/>
      <c r="D79" s="25" t="n"/>
      <c r="E79" s="26" t="n"/>
    </row>
    <row r="80" ht="15.75" customHeight="1">
      <c r="B80" s="24" t="inlineStr">
        <is>
          <t>DATASOURCE           STATUS         USE/MAX  USE%  ACT IDLE   NEW   DEL   T/O  WAIT TMOUT QUEUE  MAXU  AVGGET</t>
        </is>
      </c>
      <c r="C80" s="25" t="n"/>
      <c r="D80" s="25" t="n"/>
      <c r="E80" s="26" t="n"/>
    </row>
    <row r="81" ht="15.75" customHeight="1">
      <c r="B81" s="24" t="inlineStr">
        <is>
          <t>ExampleDS            OK                 0/3    0%    3    3    +0    -0    -0    +0    +0     0     3    38ms</t>
        </is>
      </c>
      <c r="C81" s="25" t="n"/>
      <c r="D81" s="25" t="n"/>
      <c r="E81" s="26" t="n"/>
    </row>
    <row r="82" ht="15.75" customHeight="1">
      <c r="B82" s="24" t="inlineStr">
        <is>
          <t xml:space="preserve">   idle   : 3 idle conn above floor 0 (3-&gt;0) -&gt; closing ~07:03:54 .. 07:05:37 (est.)</t>
        </is>
      </c>
      <c r="C82" s="25" t="n"/>
      <c r="D82" s="25" t="n"/>
      <c r="E82" s="26" t="n"/>
    </row>
    <row r="83" ht="15.75" customHeight="1">
      <c r="B83" s="24" t="inlineStr">
        <is>
          <t xml:space="preserve">   ...（1 回分 省略）...</t>
        </is>
      </c>
      <c r="C83" s="25" t="n"/>
      <c r="D83" s="25" t="n"/>
      <c r="E83" s="26" t="n"/>
    </row>
    <row r="84" ht="15.75" customHeight="1">
      <c r="B84" s="24" t="inlineStr">
        <is>
          <t>--- 2026-10-17 07:03:20 JST  #8  back  (WildFly 41.0.1.Final, running)  idle-check&lt;=1m30s ---</t>
        </is>
      </c>
      <c r="C84" s="25" t="n"/>
      <c r="D84" s="25" t="n"/>
      <c r="E84" s="26" t="n"/>
    </row>
    <row r="85" ht="15.75" customHeight="1">
      <c r="B85" s="24" t="inlineStr">
        <is>
          <t>DATASOURCE           STATUS         USE/MAX  USE%  ACT IDLE   NEW   DEL   T/O  WAIT TMOUT QUEUE  MAXU  AVGGET</t>
        </is>
      </c>
      <c r="C85" s="25" t="n"/>
      <c r="D85" s="25" t="n"/>
      <c r="E85" s="26" t="n"/>
    </row>
    <row r="86" ht="15.75" customHeight="1">
      <c r="B86" s="24" t="inlineStr">
        <is>
          <t>ExampleDS            OK                 0/3    0%    3    3    +0    -0    -0    +0    +0     0     3    36ms</t>
        </is>
      </c>
      <c r="C86" s="25" t="n"/>
      <c r="D86" s="25" t="n"/>
      <c r="E86" s="26" t="n"/>
    </row>
    <row r="87" ht="15.75" customHeight="1">
      <c r="B87" s="24" t="inlineStr">
        <is>
          <t xml:space="preserve">   idle   : 3 idle conn above floor 0 (3-&gt;0) -&gt; closing ~07:03:54 .. 07:05:50 (est.)</t>
        </is>
      </c>
      <c r="C87" s="25" t="n"/>
      <c r="D87" s="25" t="n"/>
      <c r="E87" s="26" t="n"/>
    </row>
    <row r="88" ht="15.75" customHeight="1">
      <c r="B88" s="24" t="inlineStr">
        <is>
          <t xml:space="preserve">   ...（6 回分 省略）...</t>
        </is>
      </c>
      <c r="C88" s="25" t="n"/>
      <c r="D88" s="25" t="n"/>
      <c r="E88" s="26" t="n"/>
    </row>
    <row r="89" ht="15.75" customHeight="1">
      <c r="B89" s="24" t="inlineStr">
        <is>
          <t>--- 2026-10-17 07:04:05 JST  #15  back  (WildFly 41.0.1.Final, running)  idle-check&lt;=1m30s ---</t>
        </is>
      </c>
      <c r="C89" s="25" t="n"/>
      <c r="D89" s="25" t="n"/>
      <c r="E89" s="26" t="n"/>
    </row>
    <row r="90" ht="15.75" customHeight="1">
      <c r="B90" s="24" t="inlineStr">
        <is>
          <t>DATASOURCE           STATUS         USE/MAX  USE%  ACT IDLE   NEW   DEL   T/O  WAIT TMOUT QUEUE  MAXU  AVGGET</t>
        </is>
      </c>
      <c r="C90" s="25" t="n"/>
      <c r="D90" s="25" t="n"/>
      <c r="E90" s="26" t="n"/>
    </row>
    <row r="91" ht="15.75" customHeight="1">
      <c r="B91" s="24" t="inlineStr">
        <is>
          <t>ExampleDS            OK                 0/3    0%    3    3    +0    -0    -0    +0    +0     0     3    36ms</t>
        </is>
      </c>
      <c r="C91" s="25" t="n"/>
      <c r="D91" s="25" t="n"/>
      <c r="E91" s="26" t="n"/>
    </row>
    <row r="92" ht="15.75" customHeight="1">
      <c r="B92" s="24" t="inlineStr">
        <is>
          <t xml:space="preserve">   idle   : 3 idle conn above floor 0 (3-&gt;0) -&gt; closing ~07:03:54 .. 07:05:50 (est.)</t>
        </is>
      </c>
      <c r="C92" s="25" t="n"/>
      <c r="D92" s="25" t="n"/>
      <c r="E92" s="26" t="n"/>
    </row>
    <row r="93" ht="15.75" customHeight="1">
      <c r="B93" s="24" t="inlineStr">
        <is>
          <t>--- 2026-10-17 07:04:12 JST  #16  back  (WildFly 41.0.1.Final, running)  idle-check&lt;=1m30s ---</t>
        </is>
      </c>
      <c r="C93" s="25" t="n"/>
      <c r="D93" s="25" t="n"/>
      <c r="E93" s="26" t="n"/>
    </row>
    <row r="94" ht="15.75" customHeight="1">
      <c r="B94" s="24" t="inlineStr">
        <is>
          <t>DATASOURCE           STATUS         USE/MAX  USE%  ACT IDLE   NEW   DEL   T/O  WAIT TMOUT QUEUE  MAXU  AVGGET</t>
        </is>
      </c>
      <c r="C94" s="25" t="n"/>
      <c r="D94" s="25" t="n"/>
      <c r="E94" s="26" t="n"/>
    </row>
    <row r="95" ht="15.75" customHeight="1">
      <c r="B95" s="24" t="inlineStr">
        <is>
          <t>ExampleDS            OK                 0/3    0%    2    2    +0    -1    -1    +0    +0     0     3    36ms</t>
        </is>
      </c>
      <c r="C95" s="25" t="n"/>
      <c r="D95" s="25" t="n"/>
      <c r="E95" s="26" t="n"/>
    </row>
    <row r="96" ht="15.75" customHeight="1">
      <c r="B96" s="24" t="inlineStr">
        <is>
          <t xml:space="preserve">   idle   : 2 idle conn above floor 0 (2-&gt;0) -&gt; closing ~07:04:00 .. 07:05:50 (est.)</t>
        </is>
      </c>
      <c r="C96" s="25" t="n"/>
      <c r="D96" s="25" t="n"/>
      <c r="E96" s="26" t="n"/>
    </row>
    <row r="97" ht="15.75" customHeight="1">
      <c r="B97" s="24" t="inlineStr">
        <is>
          <t xml:space="preserve">   event | 1 closed by idle-timeout</t>
        </is>
      </c>
      <c r="C97" s="25" t="n"/>
      <c r="D97" s="25" t="n"/>
      <c r="E97" s="26" t="n"/>
    </row>
    <row r="98" ht="15.75" customHeight="1">
      <c r="B98" s="24" t="inlineStr">
        <is>
          <t xml:space="preserve">   ...（12 回分 省略）...</t>
        </is>
      </c>
      <c r="C98" s="25" t="n"/>
      <c r="D98" s="25" t="n"/>
      <c r="E98" s="26" t="n"/>
    </row>
    <row r="99" ht="15.75" customHeight="1">
      <c r="B99" s="24" t="inlineStr">
        <is>
          <t>--- 2026-10-17 07:05:37 JST  #29  back  (WildFly 41.0.1.Final, running)  idle-check&lt;=1m30s ---</t>
        </is>
      </c>
      <c r="C99" s="25" t="n"/>
      <c r="D99" s="25" t="n"/>
      <c r="E99" s="26" t="n"/>
    </row>
    <row r="100" ht="15.75" customHeight="1">
      <c r="B100" s="24" t="inlineStr">
        <is>
          <t>DATASOURCE           STATUS         USE/MAX  USE%  ACT IDLE   NEW   DEL   T/O  WAIT TMOUT QUEUE  MAXU  AVGGET</t>
        </is>
      </c>
      <c r="C100" s="25" t="n"/>
      <c r="D100" s="25" t="n"/>
      <c r="E100" s="26" t="n"/>
    </row>
    <row r="101" ht="15.75" customHeight="1">
      <c r="B101" s="24" t="inlineStr">
        <is>
          <t>ExampleDS            OK                 0/3    0%    2    2    +0    -0    -0    +0    +0     0     3    36ms</t>
        </is>
      </c>
      <c r="C101" s="25" t="n"/>
      <c r="D101" s="25" t="n"/>
      <c r="E101" s="26" t="n"/>
    </row>
    <row r="102" ht="15.75" customHeight="1">
      <c r="B102" s="24" t="inlineStr">
        <is>
          <t xml:space="preserve">   idle   : 2 idle conn above floor 0 (2-&gt;0) -&gt; closing ~07:04:00 .. 07:05:50 (est.)</t>
        </is>
      </c>
      <c r="C102" s="25" t="n"/>
      <c r="D102" s="25" t="n"/>
      <c r="E102" s="26" t="n"/>
    </row>
    <row r="103" ht="15.75" customHeight="1">
      <c r="B103" s="24" t="inlineStr">
        <is>
          <t>--- 2026-10-17 07:05:47 JST  #30  back  (WildFly 41.0.1.Final, running)  idle-check&lt;=1m30s ---</t>
        </is>
      </c>
      <c r="C103" s="25" t="n"/>
      <c r="D103" s="25" t="n"/>
      <c r="E103" s="26" t="n"/>
    </row>
    <row r="104" ht="15.75" customHeight="1">
      <c r="B104" s="24" t="inlineStr">
        <is>
          <t>DATASOURCE           STATUS         USE/MAX  USE%  ACT IDLE   NEW   DEL   T/O  WAIT TMOUT QUEUE  MAXU  AVGGET</t>
        </is>
      </c>
      <c r="C104" s="25" t="n"/>
      <c r="D104" s="25" t="n"/>
      <c r="E104" s="26" t="n"/>
    </row>
    <row r="105" ht="15.75" customHeight="1">
      <c r="B105" s="24" t="inlineStr">
        <is>
          <t>ExampleDS            OK                 0/3    0%    0    0    +0    -2    -2    +0    +0     0     3    36ms</t>
        </is>
      </c>
      <c r="C105" s="25" t="n"/>
      <c r="D105" s="25" t="n"/>
      <c r="E105" s="26" t="n"/>
    </row>
    <row r="106" ht="15.75" customHeight="1">
      <c r="B106" s="24" t="inlineStr">
        <is>
          <t xml:space="preserve">   event | 2 closed by idle-timeout</t>
        </is>
      </c>
      <c r="C106" s="25" t="n"/>
      <c r="D106" s="25" t="n"/>
      <c r="E106" s="26" t="n"/>
    </row>
    <row r="107" ht="15.75" customHeight="1">
      <c r="B107" s="24" t="inlineStr">
        <is>
          <t xml:space="preserve">   ...（3 回分 省略）...</t>
        </is>
      </c>
      <c r="C107" s="25" t="n"/>
      <c r="D107" s="25" t="n"/>
      <c r="E107" s="26" t="n"/>
    </row>
    <row r="108" ht="15.75" customHeight="1">
      <c r="B108" s="24" t="inlineStr">
        <is>
          <t>--- 2026-10-17 07:06:15 JST  #34  back  (WildFly 41.0.1.Final, running)  idle-check&lt;=1m30s ---</t>
        </is>
      </c>
      <c r="C108" s="25" t="n"/>
      <c r="D108" s="25" t="n"/>
      <c r="E108" s="26" t="n"/>
    </row>
    <row r="109" ht="15.75" customHeight="1">
      <c r="B109" s="24" t="inlineStr">
        <is>
          <t>DATASOURCE           STATUS         USE/MAX  USE%  ACT IDLE   NEW   DEL   T/O  WAIT TMOUT QUEUE  MAXU  AVGGET</t>
        </is>
      </c>
      <c r="C109" s="25" t="n"/>
      <c r="D109" s="25" t="n"/>
      <c r="E109" s="26" t="n"/>
    </row>
    <row r="110" ht="15.75" customHeight="1">
      <c r="B110" s="27" t="inlineStr">
        <is>
          <t>ExampleDS            OK                 0/3    0%    0    0    +0    -0    -0    +0    +0     0     3    36ms</t>
        </is>
      </c>
      <c r="C110" s="28" t="n"/>
      <c r="D110" s="28" t="n"/>
      <c r="E110" s="29" t="n"/>
    </row>
    <row r="111" ht="8" customHeight="1"/>
    <row r="112" ht="76" customHeight="1">
      <c r="B112" s="18" t="inlineStr">
        <is>
          <t>※ 読み方の例：#2 で一気に 3 本作られ（pool grew 0-&gt;3）、3 件が並び、#3 で 3 件がタイムアウト（TMOUT +3）。負荷が終わると idle 行に片付け予定が出ます。07:03:15〜18 に 3 秒だけ 2 本が使われましたが、観測と観測のあいだだったため USE には出ていません。jbpool は TotalUsageTime の増加から「見えない返却」を検知し、遅くともの時刻を 07:05:37 → 07:05:50 に自動で後ろへずらしています。実際の片付けは 07:04:05〜12 に 1 本、07:05:37〜47 に 2 本で、予定どおりでした。</t>
        </is>
      </c>
      <c r="C112" s="19" t="n"/>
      <c r="D112" s="19" t="n"/>
      <c r="E112" s="19" t="n"/>
    </row>
    <row r="113" ht="8" customHeight="1"/>
    <row r="114" ht="6" customHeight="1"/>
    <row r="115" ht="24" customHeight="1">
      <c r="B115" s="15" t="inlineStr">
        <is>
          <t>■ watch の列の意味</t>
        </is>
      </c>
      <c r="C115" s="16" t="n"/>
      <c r="D115" s="16" t="n"/>
      <c r="E115" s="16" t="n"/>
    </row>
    <row r="116" ht="4" customHeight="1"/>
    <row r="117" ht="22.5" customHeight="1">
      <c r="B117" s="7" t="inlineStr">
        <is>
          <t>列</t>
        </is>
      </c>
      <c r="C117" s="7" t="inlineStr">
        <is>
          <t>元データ</t>
        </is>
      </c>
      <c r="D117" s="7" t="inlineStr">
        <is>
          <t>意味</t>
        </is>
      </c>
      <c r="E117" s="7" t="inlineStr">
        <is>
          <t>見るポイント</t>
        </is>
      </c>
    </row>
    <row r="118" ht="22.5" customHeight="1">
      <c r="B118" s="9" t="inlineStr">
        <is>
          <t>USE/MAX</t>
        </is>
      </c>
      <c r="C118" s="10" t="inlineStr">
        <is>
          <t>InUseCount ／ max-pool-size</t>
        </is>
      </c>
      <c r="D118" s="10" t="inlineStr">
        <is>
          <t>貸し出し中 ／ 上限</t>
        </is>
      </c>
      <c r="E118" s="10" t="inlineStr">
        <is>
          <t>上限に張り付いていないか</t>
        </is>
      </c>
    </row>
    <row r="119" ht="22.5" customHeight="1">
      <c r="B119" s="12" t="inlineStr">
        <is>
          <t>USE%</t>
        </is>
      </c>
      <c r="C119" s="13" t="inlineStr">
        <is>
          <t>InUseCount ÷ max-pool-size</t>
        </is>
      </c>
      <c r="D119" s="13" t="inlineStr">
        <is>
          <t>使用率</t>
        </is>
      </c>
      <c r="E119" s="13" t="inlineStr">
        <is>
          <t>JBP_WARN（既定 80%）以上で BUSY</t>
        </is>
      </c>
    </row>
    <row r="120" ht="22.5" customHeight="1">
      <c r="B120" s="9" t="inlineStr">
        <is>
          <t>ACT／IDLE</t>
        </is>
      </c>
      <c r="C120" s="10" t="inlineStr">
        <is>
          <t>ActiveCount／IdleCount</t>
        </is>
      </c>
      <c r="D120" s="10" t="inlineStr">
        <is>
          <t>合計本数／休み中の本数</t>
        </is>
      </c>
      <c r="E120" s="10" t="inlineStr">
        <is>
          <t>IDLE が多いまま → 片付け予定を見る</t>
        </is>
      </c>
    </row>
    <row r="121" ht="22.5" customHeight="1">
      <c r="B121" s="12" t="inlineStr">
        <is>
          <t>NEW</t>
        </is>
      </c>
      <c r="C121" s="13" t="inlineStr">
        <is>
          <t>CreatedCount の増分</t>
        </is>
      </c>
      <c r="D121" s="13" t="inlineStr">
        <is>
          <t>前回から新しく作った本数（プールの追加）</t>
        </is>
      </c>
      <c r="E121" s="13" t="inlineStr">
        <is>
          <t>急に増える＝負荷の山</t>
        </is>
      </c>
    </row>
    <row r="122" ht="22.5" customHeight="1">
      <c r="B122" s="9" t="inlineStr">
        <is>
          <t>DEL</t>
        </is>
      </c>
      <c r="C122" s="10" t="inlineStr">
        <is>
          <t>DestroyedCount の増分</t>
        </is>
      </c>
      <c r="D122" s="10" t="inlineStr">
        <is>
          <t>前回から捨てた本数</t>
        </is>
      </c>
      <c r="E122" s="10" t="inlineStr">
        <is>
          <t>T/O 以外の DEL は検証失敗やフラッシュ</t>
        </is>
      </c>
    </row>
    <row r="123" ht="22.5" customHeight="1">
      <c r="B123" s="12" t="inlineStr">
        <is>
          <t>T/O</t>
        </is>
      </c>
      <c r="C123" s="13" t="inlineStr">
        <is>
          <t>TimedOut の増分</t>
        </is>
      </c>
      <c r="D123" s="13" t="inlineStr">
        <is>
          <t>アイドルタイムアウトで片付けた本数</t>
        </is>
      </c>
      <c r="E123" s="13" t="inlineStr">
        <is>
          <t>片付け予定どおりか</t>
        </is>
      </c>
    </row>
    <row r="124" ht="22.5" customHeight="1">
      <c r="B124" s="9" t="inlineStr">
        <is>
          <t>WAIT</t>
        </is>
      </c>
      <c r="C124" s="10" t="inlineStr">
        <is>
          <t>WaitCount の増分</t>
        </is>
      </c>
      <c r="D124" s="10" t="inlineStr">
        <is>
          <t>待たされたリクエスト数</t>
        </is>
      </c>
      <c r="E124" s="10" t="inlineStr">
        <is>
          <t>0 でないなら一瞬でもあふれた</t>
        </is>
      </c>
    </row>
    <row r="125" ht="22.5" customHeight="1">
      <c r="B125" s="12" t="inlineStr">
        <is>
          <t>TMOUT</t>
        </is>
      </c>
      <c r="C125" s="13" t="inlineStr">
        <is>
          <t>BlockingFailureCount の増分</t>
        </is>
      </c>
      <c r="D125" s="13" t="inlineStr">
        <is>
          <t>待ちきれずエラーになった数</t>
        </is>
      </c>
      <c r="E125" s="13" t="inlineStr">
        <is>
          <t>1 以上は利用者に影響あり</t>
        </is>
      </c>
    </row>
    <row r="126" ht="39" customHeight="1">
      <c r="B126" s="9" t="inlineStr">
        <is>
          <t>QUEUE</t>
        </is>
      </c>
      <c r="C126" s="10" t="inlineStr">
        <is>
          <t>dump-queued-threads-in-pool の件数</t>
        </is>
      </c>
      <c r="D126" s="10" t="inlineStr">
        <is>
          <t>いま並んでいる数（n/a は操作が使えない版）</t>
        </is>
      </c>
      <c r="E126" s="10" t="inlineStr">
        <is>
          <t>1 以上＝あふれ中</t>
        </is>
      </c>
    </row>
    <row r="127" ht="22.5" customHeight="1">
      <c r="B127" s="12" t="inlineStr">
        <is>
          <t>MAXU</t>
        </is>
      </c>
      <c r="C127" s="13" t="inlineStr">
        <is>
          <t>MaxUsedCount</t>
        </is>
      </c>
      <c r="D127" s="13" t="inlineStr">
        <is>
          <t>これまでの最大同時使用数</t>
        </is>
      </c>
      <c r="E127" s="13" t="inlineStr">
        <is>
          <t>max-pool-size に届いたか</t>
        </is>
      </c>
    </row>
    <row r="128" ht="22.5" customHeight="1">
      <c r="B128" s="9" t="inlineStr">
        <is>
          <t>AVGGET</t>
        </is>
      </c>
      <c r="C128" s="10" t="inlineStr">
        <is>
          <t>AverageGetTime</t>
        </is>
      </c>
      <c r="D128" s="10" t="inlineStr">
        <is>
          <t>接続を借りるまでの平均時間</t>
        </is>
      </c>
      <c r="E128" s="10" t="inlineStr">
        <is>
          <t>伸びてきたら要注意</t>
        </is>
      </c>
    </row>
    <row r="129" ht="39" customHeight="1">
      <c r="B129" s="12" t="inlineStr">
        <is>
          <t>queue 行</t>
        </is>
      </c>
      <c r="C129" s="13" t="inlineStr">
        <is>
          <t>スレッド名ごとの初回観測時刻＋待てる最大時間</t>
        </is>
      </c>
      <c r="D129" s="13" t="inlineStr">
        <is>
          <t>全員が遅くともいつまでに解消するか</t>
        </is>
      </c>
      <c r="E129" s="13" t="inlineStr"/>
    </row>
    <row r="130" ht="39" customHeight="1">
      <c r="B130" s="9" t="inlineStr">
        <is>
          <t>idle 行</t>
        </is>
      </c>
      <c r="C130" s="10" t="inlineStr">
        <is>
          <t>使用数の履歴＋idle-timeout＋見回り間隔</t>
        </is>
      </c>
      <c r="D130" s="10" t="inlineStr">
        <is>
          <t>余った接続が何時ごろ片付くか（est.＝推定）</t>
        </is>
      </c>
      <c r="E130" s="10" t="inlineStr"/>
    </row>
    <row r="131" ht="39" customHeight="1">
      <c r="B131" s="12" t="inlineStr">
        <is>
          <t>event 行</t>
        </is>
      </c>
      <c r="C131" s="13" t="inlineStr">
        <is>
          <t>上の増分の文章化</t>
        </is>
      </c>
      <c r="D131" s="13" t="inlineStr">
        <is>
          <t>pool grew（追加）／closed by idle-timeout（片付け）／TIMEOUT error など</t>
        </is>
      </c>
      <c r="E131" s="13" t="inlineStr"/>
    </row>
    <row r="132" ht="8" customHeight="1"/>
    <row r="133" ht="6" customHeight="1"/>
    <row r="134" ht="24" customHeight="1">
      <c r="B134" s="15" t="inlineStr">
        <is>
          <t>■ STATUS 一覧</t>
        </is>
      </c>
      <c r="C134" s="16" t="n"/>
      <c r="D134" s="16" t="n"/>
      <c r="E134" s="16" t="n"/>
    </row>
    <row r="135" ht="4" customHeight="1"/>
    <row r="136" ht="22.5" customHeight="1">
      <c r="B136" s="7" t="inlineStr">
        <is>
          <t>STATUS</t>
        </is>
      </c>
      <c r="C136" s="7" t="inlineStr">
        <is>
          <t>条件</t>
        </is>
      </c>
      <c r="D136" s="7" t="inlineStr">
        <is>
          <t>意味</t>
        </is>
      </c>
      <c r="E136" s="7" t="inlineStr">
        <is>
          <t>こども向け</t>
        </is>
      </c>
    </row>
    <row r="137" ht="22.5" customHeight="1">
      <c r="B137" s="9" t="inlineStr">
        <is>
          <t>OK</t>
        </is>
      </c>
      <c r="C137" s="10" t="inlineStr">
        <is>
          <t>下のどれにも当てはまらない</t>
        </is>
      </c>
      <c r="D137" s="10" t="inlineStr">
        <is>
          <t>ふつう</t>
        </is>
      </c>
      <c r="E137" s="10" t="inlineStr">
        <is>
          <t>晴れ</t>
        </is>
      </c>
    </row>
    <row r="138" ht="22.5" customHeight="1">
      <c r="B138" s="12" t="inlineStr">
        <is>
          <t>BUSY</t>
        </is>
      </c>
      <c r="C138" s="13" t="inlineStr">
        <is>
          <t>使用率 ≥ JBP_WARN（既定 80%）</t>
        </is>
      </c>
      <c r="D138" s="13" t="inlineStr">
        <is>
          <t>混んできた</t>
        </is>
      </c>
      <c r="E138" s="13" t="inlineStr">
        <is>
          <t>くもり</t>
        </is>
      </c>
    </row>
    <row r="139" ht="22.5" customHeight="1">
      <c r="B139" s="9" t="inlineStr">
        <is>
          <t>FULL</t>
        </is>
      </c>
      <c r="C139" s="10" t="inlineStr">
        <is>
          <t>InUseCount ≥ max-pool-size</t>
        </is>
      </c>
      <c r="D139" s="10" t="inlineStr">
        <is>
          <t>満杯（次に来たら並ぶ）</t>
        </is>
      </c>
      <c r="E139" s="10" t="inlineStr">
        <is>
          <t>傘が全部出払った</t>
        </is>
      </c>
    </row>
    <row r="140" ht="22.5" customHeight="1">
      <c r="B140" s="12" t="inlineStr">
        <is>
          <t>OVERFLOW</t>
        </is>
      </c>
      <c r="C140" s="13" t="inlineStr">
        <is>
          <t>待ちスレッドが 1 以上</t>
        </is>
      </c>
      <c r="D140" s="13" t="inlineStr">
        <is>
          <t>あふれ中</t>
        </is>
      </c>
      <c r="E140" s="13" t="inlineStr">
        <is>
          <t>列ができている</t>
        </is>
      </c>
    </row>
    <row r="141" ht="39" customHeight="1">
      <c r="B141" s="9" t="inlineStr">
        <is>
          <t>＋TMOUT</t>
        </is>
      </c>
      <c r="C141" s="10" t="inlineStr">
        <is>
          <t>前回からタイムアウトが増えた（watch／csv）</t>
        </is>
      </c>
      <c r="D141" s="10" t="inlineStr">
        <is>
          <t>誰かがエラーになった</t>
        </is>
      </c>
      <c r="E141" s="10" t="inlineStr">
        <is>
          <t>傘をもらえず帰った子がいる</t>
        </is>
      </c>
    </row>
    <row r="142" ht="22.5" customHeight="1">
      <c r="B142" s="12" t="inlineStr">
        <is>
          <t>STATS-OFF</t>
        </is>
      </c>
      <c r="C142" s="13" t="inlineStr">
        <is>
          <t>statistics-enabled が false</t>
        </is>
      </c>
      <c r="D142" s="13" t="inlineStr">
        <is>
          <t>数値が記録されていない（0 に見える）</t>
        </is>
      </c>
      <c r="E142" s="13" t="inlineStr">
        <is>
          <t>ノートを付けていない</t>
        </is>
      </c>
    </row>
    <row r="143" ht="39" customHeight="1">
      <c r="B143" s="9" t="inlineStr">
        <is>
          <t>DISABLED</t>
        </is>
      </c>
      <c r="C143" s="10" t="inlineStr">
        <is>
          <t>データソースが無効（enabled=false）</t>
        </is>
      </c>
      <c r="D143" s="10" t="inlineStr">
        <is>
          <t>使われていない</t>
        </is>
      </c>
      <c r="E143" s="10" t="inlineStr">
        <is>
          <t>傘立てが閉まっている</t>
        </is>
      </c>
    </row>
    <row r="144" ht="8" customHeight="1"/>
    <row r="145" ht="6" customHeight="1"/>
    <row r="146" ht="24" customHeight="1">
      <c r="B146" s="15" t="inlineStr">
        <is>
          <t>■ CSV の列</t>
        </is>
      </c>
      <c r="C146" s="16" t="n"/>
      <c r="D146" s="16" t="n"/>
      <c r="E146" s="16" t="n"/>
    </row>
    <row r="147" ht="4" customHeight="1"/>
    <row r="148" ht="22.5" customHeight="1">
      <c r="B148" s="7" t="inlineStr">
        <is>
          <t>列</t>
        </is>
      </c>
      <c r="C148" s="7" t="inlineStr">
        <is>
          <t>意味</t>
        </is>
      </c>
      <c r="D148" s="8" t="n"/>
      <c r="E148" s="8" t="n"/>
    </row>
    <row r="149" ht="22.5" customHeight="1">
      <c r="B149" s="9" t="inlineStr">
        <is>
          <t>date,time,epoch</t>
        </is>
      </c>
      <c r="C149" s="10" t="inlineStr">
        <is>
          <t>観測した日付・時刻（TZ に従う）・UNIX 秒</t>
        </is>
      </c>
      <c r="D149" s="11" t="n"/>
      <c r="E149" s="11" t="n"/>
    </row>
    <row r="150" ht="39" customHeight="1">
      <c r="B150" s="12" t="inlineStr">
        <is>
          <t>label,datasource,status</t>
        </is>
      </c>
      <c r="C150" s="13" t="inlineStr">
        <is>
          <t>コンテナ名・データソース名・STATUS</t>
        </is>
      </c>
      <c r="D150" s="14" t="n"/>
      <c r="E150" s="14" t="n"/>
    </row>
    <row r="151" ht="39" customHeight="1">
      <c r="B151" s="9" t="inlineStr">
        <is>
          <t>active,in_use,idle,max,available</t>
        </is>
      </c>
      <c r="C151" s="10" t="inlineStr">
        <is>
          <t>合計・使用中・休み・上限・まだ貸せる枠</t>
        </is>
      </c>
      <c r="D151" s="11" t="n"/>
      <c r="E151" s="11" t="n"/>
    </row>
    <row r="152" ht="55.5" customHeight="1">
      <c r="B152" s="12" t="inlineStr">
        <is>
          <t>created,destroyed,timed_out,wait_count,blocking_failures</t>
        </is>
      </c>
      <c r="C152" s="13" t="inlineStr">
        <is>
          <t>累計値（差を取ると増分）</t>
        </is>
      </c>
      <c r="D152" s="14" t="n"/>
      <c r="E152" s="14" t="n"/>
    </row>
    <row r="153" ht="55.5" customHeight="1">
      <c r="B153" s="9" t="inlineStr">
        <is>
          <t>queued,max_used,max_wait_count,max_wait_ms</t>
        </is>
      </c>
      <c r="C153" s="10" t="inlineStr">
        <is>
          <t>待ち件数・最大同時使用・最大同時待ち・最大待ち時間</t>
        </is>
      </c>
      <c r="D153" s="11" t="n"/>
      <c r="E153" s="11" t="n"/>
    </row>
    <row r="154" ht="39" customHeight="1">
      <c r="B154" s="12" t="inlineStr">
        <is>
          <t>avg_get_ms,max_get_ms,avg_usage_ms</t>
        </is>
      </c>
      <c r="C154" s="13" t="inlineStr">
        <is>
          <t>借りるまでの平均・最大、使用時間の平均</t>
        </is>
      </c>
      <c r="D154" s="14" t="n"/>
      <c r="E154" s="14" t="n"/>
    </row>
    <row r="155" ht="39" customHeight="1">
      <c r="B155" s="9" t="inlineStr">
        <is>
          <t>idle_release_from,idle_release_by</t>
        </is>
      </c>
      <c r="C155" s="10" t="inlineStr">
        <is>
          <t>余った接続の片付け予定（早ければ／遅くとも）</t>
        </is>
      </c>
      <c r="D155" s="11" t="n"/>
      <c r="E155" s="11" t="n"/>
    </row>
    <row r="156" ht="22.5" customHeight="1">
      <c r="B156" s="12" t="inlineStr">
        <is>
          <t>queue_resolved_by</t>
        </is>
      </c>
      <c r="C156" s="13" t="inlineStr">
        <is>
          <t>待ち行列が遅くとも解消する時刻</t>
        </is>
      </c>
      <c r="D156" s="14" t="n"/>
      <c r="E156" s="14" t="n"/>
    </row>
    <row r="157" ht="8" customHeight="1"/>
    <row r="158" ht="18" customHeight="1">
      <c r="B158" s="20" t="inlineStr">
        <is>
          <t>▼ CSV の実例（先頭）　（コピーは B 列のコード行だけを縦に選択）</t>
        </is>
      </c>
      <c r="C158" s="4" t="n"/>
      <c r="D158" s="4" t="n"/>
      <c r="E158" s="4" t="n"/>
    </row>
    <row r="159" ht="15.75" customHeight="1">
      <c r="B159" s="21" t="inlineStr">
        <is>
          <t>date,time,epoch,label,datasource,status,active,in_use,idle,max,available,created,destroyed,timed_out,wait_count,blocking_failures,queued,max_used,max_wait_count,max_wait_ms,avg_get_ms,max_get_ms,avg_usage_ms,idle_release_from,idle_release_by,queue_resolved_by</t>
        </is>
      </c>
      <c r="C159" s="22" t="n"/>
      <c r="D159" s="22" t="n"/>
      <c r="E159" s="23" t="n"/>
    </row>
    <row r="160" ht="15.75" customHeight="1">
      <c r="B160" s="24" t="inlineStr">
        <is>
          <t>2026-10-17,07:02:34,1792188154,back,ExampleDS,OK,0,0,0,3,3,12,12,12,12,12,0,3,3,1,48,189,16834,,,</t>
        </is>
      </c>
      <c r="C160" s="25" t="n"/>
      <c r="D160" s="25" t="n"/>
      <c r="E160" s="26" t="n"/>
    </row>
    <row r="161" ht="15.75" customHeight="1">
      <c r="B161" s="24" t="inlineStr">
        <is>
          <t>2026-10-17,07:02:41,1792188161,back,ExampleDS,OVERFLOW,3,3,0,3,0,15,12,12,15,12,3,3,3,1,38,189,16834,,,07:02:51</t>
        </is>
      </c>
      <c r="C161" s="25" t="n"/>
      <c r="D161" s="25" t="n"/>
      <c r="E161" s="26" t="n"/>
    </row>
    <row r="162" ht="15.75" customHeight="1">
      <c r="B162" s="24" t="inlineStr">
        <is>
          <t>2026-10-17,07:02:47,1792188167,back,ExampleDS,FULL+TMOUT,3,3,0,3,0,15,12,12,15,15,0,3,3,1,38,189,16834,,,</t>
        </is>
      </c>
      <c r="C162" s="25" t="n"/>
      <c r="D162" s="25" t="n"/>
      <c r="E162" s="26" t="n"/>
    </row>
    <row r="163" ht="15.75" customHeight="1">
      <c r="B163" s="24" t="inlineStr">
        <is>
          <t>2026-10-17,07:02:54,1792188174,back,ExampleDS,FULL,3,3,0,3,0,15,12,12,15,15,0,3,3,1,38,189,16834,,,</t>
        </is>
      </c>
      <c r="C163" s="25" t="n"/>
      <c r="D163" s="25" t="n"/>
      <c r="E163" s="26" t="n"/>
    </row>
    <row r="164" ht="15.75" customHeight="1">
      <c r="B164" s="24" t="inlineStr">
        <is>
          <t>2026-10-17,07:03:00,1792188180,back,ExampleDS,OK,3,2,1,3,1,15,12,12,15,15,0,3,3,1,38,189,17263,07:03:54,07:05:30,</t>
        </is>
      </c>
      <c r="C164" s="25" t="n"/>
      <c r="D164" s="25" t="n"/>
      <c r="E164" s="26" t="n"/>
    </row>
    <row r="165" ht="15.75" customHeight="1">
      <c r="B165" s="24" t="inlineStr">
        <is>
          <t>2026-10-17,07:03:07,1792188187,back,ExampleDS,OK,3,0,3,3,3,15,12,12,15,15,0,3,3,1,38,189,18000,07:03:54,07:05:37,</t>
        </is>
      </c>
      <c r="C165" s="25" t="n"/>
      <c r="D165" s="25" t="n"/>
      <c r="E165" s="26" t="n"/>
    </row>
    <row r="166" ht="15.75" customHeight="1">
      <c r="B166" s="27" t="inlineStr">
        <is>
          <t>2026-10-17,07:03:13,1792188193,back,ExampleDS,OK,3,0,3,3,3,15,12,12,15,15,0,3,3,1,38,189,18000,07:03:54,07:05:37,</t>
        </is>
      </c>
      <c r="C166" s="28" t="n"/>
      <c r="D166" s="28" t="n"/>
      <c r="E166" s="29" t="n"/>
    </row>
    <row r="167" ht="8" customHeight="1"/>
    <row r="168" ht="6" customHeight="1"/>
    <row r="169" ht="24" customHeight="1">
      <c r="B169" s="15" t="inlineStr">
        <is>
          <t>■ threads の実例（どこで待っているか）</t>
        </is>
      </c>
      <c r="C169" s="16" t="n"/>
      <c r="D169" s="16" t="n"/>
      <c r="E169" s="16" t="n"/>
    </row>
    <row r="170" ht="4" customHeight="1"/>
    <row r="171" ht="18" customHeight="1">
      <c r="B171" s="20" t="inlineStr">
        <is>
          <t>▼ jbpool threads（先頭のみ）　（コピーは B 列のコード行だけを縦に選択）</t>
        </is>
      </c>
      <c r="C171" s="4" t="n"/>
      <c r="D171" s="4" t="n"/>
      <c r="E171" s="4" t="n"/>
    </row>
    <row r="172" ht="15.75" customHeight="1">
      <c r="B172" s="21" t="inlineStr">
        <is>
          <t>[jbpool] target=2d260dddc5a0  controller=remote+http://127.0.0.1:10090  cli=/opt/jboss/wildfly/bin/jboss-cli.sh  server-pid=125</t>
        </is>
      </c>
      <c r="C172" s="22" t="n"/>
      <c r="D172" s="22" t="n"/>
      <c r="E172" s="23" t="n"/>
    </row>
    <row r="173" ht="15.75" customHeight="1">
      <c r="B173" s="24" t="inlineStr">
        <is>
          <t>===== data-source ExampleDS : threads waiting for a connection =====</t>
        </is>
      </c>
      <c r="C173" s="25" t="n"/>
      <c r="D173" s="25" t="n"/>
      <c r="E173" s="26" t="n"/>
    </row>
    <row r="174" ht="15.75" customHeight="1">
      <c r="B174" s="24" t="inlineStr">
        <is>
          <t>{</t>
        </is>
      </c>
      <c r="C174" s="25" t="n"/>
      <c r="D174" s="25" t="n"/>
      <c r="E174" s="26" t="n"/>
    </row>
    <row r="175" ht="15.75" customHeight="1">
      <c r="B175" s="24" t="inlineStr">
        <is>
          <t xml:space="preserve">    "outcome" =&gt; "success",</t>
        </is>
      </c>
      <c r="C175" s="25" t="n"/>
      <c r="D175" s="25" t="n"/>
      <c r="E175" s="26" t="n"/>
    </row>
    <row r="176" ht="15.75" customHeight="1">
      <c r="B176" s="24" t="inlineStr">
        <is>
          <t xml:space="preserve">    "result" =&gt; [</t>
        </is>
      </c>
      <c r="C176" s="25" t="n"/>
      <c r="D176" s="25" t="n"/>
      <c r="E176" s="26" t="n"/>
    </row>
    <row r="177" ht="15.75" customHeight="1">
      <c r="B177" s="24" t="inlineStr">
        <is>
          <t xml:space="preserve">        "Queued thread: default task-23</t>
        </is>
      </c>
      <c r="C177" s="25" t="n"/>
      <c r="D177" s="25" t="n"/>
      <c r="E177" s="26" t="n"/>
    </row>
    <row r="178" ht="15.75" customHeight="1">
      <c r="B178" s="24" t="inlineStr">
        <is>
          <t xml:space="preserve">  jdk.internal.misc.Unsafe:park:-2</t>
        </is>
      </c>
      <c r="C178" s="25" t="n"/>
      <c r="D178" s="25" t="n"/>
      <c r="E178" s="26" t="n"/>
    </row>
    <row r="179" ht="15.75" customHeight="1">
      <c r="B179" s="24" t="inlineStr">
        <is>
          <t xml:space="preserve">  java.util.concurrent.locks.LockSupport:parkNanos:271</t>
        </is>
      </c>
      <c r="C179" s="25" t="n"/>
      <c r="D179" s="25" t="n"/>
      <c r="E179" s="26" t="n"/>
    </row>
    <row r="180" ht="15.75" customHeight="1">
      <c r="B180" s="24" t="inlineStr">
        <is>
          <t xml:space="preserve">  java.util.concurrent.locks.AbstractQueuedSynchronizer:acquire:792</t>
        </is>
      </c>
      <c r="C180" s="25" t="n"/>
      <c r="D180" s="25" t="n"/>
      <c r="E180" s="26" t="n"/>
    </row>
    <row r="181" ht="15.75" customHeight="1">
      <c r="B181" s="24" t="inlineStr">
        <is>
          <t xml:space="preserve">  java.util.concurrent.locks.AbstractQueuedSynchronizer:tryAcquireSharedNanos:1166</t>
        </is>
      </c>
      <c r="C181" s="25" t="n"/>
      <c r="D181" s="25" t="n"/>
      <c r="E181" s="26" t="n"/>
    </row>
    <row r="182" ht="15.75" customHeight="1">
      <c r="B182" s="24" t="inlineStr">
        <is>
          <t xml:space="preserve">  java.util.concurrent.Semaphore:tryAcquire:415</t>
        </is>
      </c>
      <c r="C182" s="25" t="n"/>
      <c r="D182" s="25" t="n"/>
      <c r="E182" s="26" t="n"/>
    </row>
    <row r="183" ht="15.75" customHeight="1">
      <c r="B183" s="24" t="inlineStr">
        <is>
          <t xml:space="preserve">  org.jboss.jca.core.connectionmanager.pool.api.Semaphore:tryAcquire:76</t>
        </is>
      </c>
      <c r="C183" s="25" t="n"/>
      <c r="D183" s="25" t="n"/>
      <c r="E183" s="26" t="n"/>
    </row>
    <row r="184" ht="15.75" customHeight="1">
      <c r="B184" s="24" t="inlineStr">
        <is>
          <t xml:space="preserve">  org.jboss.jca.core.connectionmanager.pool.mcp.SemaphoreConcurrentLinkedDequeManagedConnectionPool:getConnection:348</t>
        </is>
      </c>
      <c r="C184" s="25" t="n"/>
      <c r="D184" s="25" t="n"/>
      <c r="E184" s="26" t="n"/>
    </row>
    <row r="185" ht="15.75" customHeight="1">
      <c r="B185" s="24" t="inlineStr">
        <is>
          <t xml:space="preserve">  org.jboss.jca.core.connectionmanager.pool.AbstractPool:getSimpleConnection:688</t>
        </is>
      </c>
      <c r="C185" s="25" t="n"/>
      <c r="D185" s="25" t="n"/>
      <c r="E185" s="26" t="n"/>
    </row>
    <row r="186" ht="15.75" customHeight="1">
      <c r="B186" s="24" t="inlineStr">
        <is>
          <t xml:space="preserve">  org.jboss.jca.core.connectionmanager.pool.AbstractPool:getConnection:653</t>
        </is>
      </c>
      <c r="C186" s="25" t="n"/>
      <c r="D186" s="25" t="n"/>
      <c r="E186" s="26" t="n"/>
    </row>
    <row r="187" ht="15.75" customHeight="1">
      <c r="B187" s="24" t="inlineStr">
        <is>
          <t xml:space="preserve">  org.jboss.jca.core.connectionmanager.AbstractConnectionManager:getManagedConnection:624</t>
        </is>
      </c>
      <c r="C187" s="25" t="n"/>
      <c r="D187" s="25" t="n"/>
      <c r="E187" s="26" t="n"/>
    </row>
    <row r="188" ht="15.75" customHeight="1">
      <c r="B188" s="24" t="inlineStr">
        <is>
          <t xml:space="preserve">  org.jboss.jca.core.connectionmanager.tx.TxConnectionManagerImpl:getManagedConnection:440</t>
        </is>
      </c>
      <c r="C188" s="25" t="n"/>
      <c r="D188" s="25" t="n"/>
      <c r="E188" s="26" t="n"/>
    </row>
    <row r="189" ht="15.75" customHeight="1">
      <c r="B189" s="24" t="inlineStr">
        <is>
          <t xml:space="preserve">  org.jboss.jca.core.connectionmanager.AbstractConnectionManager:allocateConnection:789</t>
        </is>
      </c>
      <c r="C189" s="25" t="n"/>
      <c r="D189" s="25" t="n"/>
      <c r="E189" s="26" t="n"/>
    </row>
    <row r="190" ht="15.75" customHeight="1">
      <c r="B190" s="24" t="inlineStr">
        <is>
          <t xml:space="preserve">  org.jboss.jca.adapters.jdbc.WrapperDataSource:getConnection:152</t>
        </is>
      </c>
      <c r="C190" s="25" t="n"/>
      <c r="D190" s="25" t="n"/>
      <c r="E190" s="26" t="n"/>
    </row>
    <row r="191" ht="15.75" customHeight="1">
      <c r="B191" s="24" t="inlineStr">
        <is>
          <t xml:space="preserve">  org.jboss.as.connector.subsystems.datasources.WildFlyDataSource:getConnection:47</t>
        </is>
      </c>
      <c r="C191" s="25" t="n"/>
      <c r="D191" s="25" t="n"/>
      <c r="E191" s="26" t="n"/>
    </row>
    <row r="192" ht="15.75" customHeight="1">
      <c r="B192" s="24" t="inlineStr">
        <is>
          <t xml:space="preserve">  org.apache.jsp.hold_jsp:_jspService:107</t>
        </is>
      </c>
      <c r="C192" s="25" t="n"/>
      <c r="D192" s="25" t="n"/>
      <c r="E192" s="26" t="n"/>
    </row>
    <row r="193" ht="15.75" customHeight="1">
      <c r="B193" s="24" t="inlineStr">
        <is>
          <t xml:space="preserve">  org.apache.jasper.runtime.HttpJspBase:service:70</t>
        </is>
      </c>
      <c r="C193" s="25" t="n"/>
      <c r="D193" s="25" t="n"/>
      <c r="E193" s="26" t="n"/>
    </row>
    <row r="194" ht="15.75" customHeight="1">
      <c r="B194" s="24" t="inlineStr">
        <is>
          <t xml:space="preserve">  jakarta.servlet.http.HttpServlet:service:723</t>
        </is>
      </c>
      <c r="C194" s="25" t="n"/>
      <c r="D194" s="25" t="n"/>
      <c r="E194" s="26" t="n"/>
    </row>
    <row r="195" ht="15.75" customHeight="1">
      <c r="B195" s="27" t="inlineStr">
        <is>
          <t xml:space="preserve">  org.apache.jasper.servlet.JspServletWrapper:service:428</t>
        </is>
      </c>
      <c r="C195" s="28" t="n"/>
      <c r="D195" s="28" t="n"/>
      <c r="E195" s="29" t="n"/>
    </row>
    <row r="196" ht="8" customHeight="1"/>
    <row r="197" ht="43" customHeight="1">
      <c r="B197" s="18" t="inlineStr">
        <is>
          <t>※ 上の例では、hold_jsp（テスト用の JSP）が DataSource.getConnection() を呼び、IronJacamar の Semaphore.tryAcquire で待っていることがわかります。本番では、ここにアプリのクラス名とメソッド名が出るので「どの処理が接続を待っているか」を特定できます。</t>
        </is>
      </c>
      <c r="C197" s="19" t="n"/>
      <c r="D197" s="19" t="n"/>
      <c r="E197" s="19" t="n"/>
    </row>
    <row r="198" ht="8" customHeight="1"/>
  </sheetData>
  <mergeCells count="26">
    <mergeCell ref="B146:E146"/>
    <mergeCell ref="B9:E9"/>
    <mergeCell ref="B158:E158"/>
    <mergeCell ref="B6:E6"/>
    <mergeCell ref="C148:E148"/>
    <mergeCell ref="B169:E169"/>
    <mergeCell ref="B197:E197"/>
    <mergeCell ref="B4:E4"/>
    <mergeCell ref="C150:E150"/>
    <mergeCell ref="C153:E153"/>
    <mergeCell ref="B59:E59"/>
    <mergeCell ref="B134:E134"/>
    <mergeCell ref="C149:E149"/>
    <mergeCell ref="B115:E115"/>
    <mergeCell ref="C155:E155"/>
    <mergeCell ref="B11:E11"/>
    <mergeCell ref="C154:E154"/>
    <mergeCell ref="B2:E2"/>
    <mergeCell ref="C151:E151"/>
    <mergeCell ref="B1:E1"/>
    <mergeCell ref="B57:E57"/>
    <mergeCell ref="C156:E156"/>
    <mergeCell ref="B171:E171"/>
    <mergeCell ref="B38:E38"/>
    <mergeCell ref="B112:E112"/>
    <mergeCell ref="C152:E152"/>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8.xml><?xml version="1.0" encoding="utf-8"?>
<worksheet xmlns="http://schemas.openxmlformats.org/spreadsheetml/2006/main">
  <sheetPr>
    <tabColor rgb="007F7F7F"/>
    <outlinePr summaryBelow="1" summaryRight="1"/>
    <pageSetUpPr fitToPage="1"/>
  </sheetPr>
  <dimension ref="B1:E72"/>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44" customWidth="1" min="2" max="2"/>
    <col width="22" customWidth="1" min="3" max="3"/>
    <col width="56" customWidth="1" min="4" max="4"/>
    <col width="10" customWidth="1" min="5" max="5"/>
  </cols>
  <sheetData>
    <row r="1" ht="34" customHeight="1">
      <c r="B1" s="1" t="inlineStr">
        <is>
          <t>「タイムアウトにより解消する予定の時刻」の計算方法</t>
        </is>
      </c>
      <c r="C1" s="2" t="n"/>
      <c r="D1" s="2" t="n"/>
      <c r="E1" s="2" t="n"/>
    </row>
    <row r="2" ht="18" customHeight="1">
      <c r="B2" s="3" t="inlineStr">
        <is>
          <t>JBoss EAP コネクションプール確認コマンド「jbpool」解説書　｜　2026-10-17</t>
        </is>
      </c>
      <c r="C2" s="4" t="n"/>
      <c r="D2" s="4" t="n"/>
      <c r="E2" s="4" t="n"/>
    </row>
    <row r="3" ht="10" customHeight="1"/>
    <row r="4" ht="63.975" customHeight="1">
      <c r="B4" s="5" t="inlineStr">
        <is>
          <t>jbpool が表示する予定時刻は 2 種類です。① 並んでいるリクエストがいなくなる時刻（待ちのタイムアウト）、② 余った接続が片付けられる時刻（アイドルタイムアウト）。どちらも JBoss の設定値と、IronJacamar（プールの本体）の実際のソースコードの動きにもとづいて計算しています。</t>
        </is>
      </c>
      <c r="C4" s="6" t="n"/>
      <c r="D4" s="6" t="n"/>
      <c r="E4" s="6" t="n"/>
    </row>
    <row r="5" ht="8" customHeight="1"/>
    <row r="6" ht="6" customHeight="1"/>
    <row r="7" ht="24" customHeight="1">
      <c r="B7" s="15" t="inlineStr">
        <is>
          <t>■ ① 待ちの解消予定（遅くとも）</t>
        </is>
      </c>
      <c r="C7" s="16" t="n"/>
      <c r="D7" s="16" t="n"/>
      <c r="E7" s="16" t="n"/>
    </row>
    <row r="8" ht="4" customHeight="1"/>
    <row r="9" ht="22.5" customHeight="1">
      <c r="B9" s="7" t="inlineStr">
        <is>
          <t>ことば</t>
        </is>
      </c>
      <c r="C9" s="7" t="inlineStr">
        <is>
          <t>式</t>
        </is>
      </c>
      <c r="D9" s="7" t="inlineStr">
        <is>
          <t>説明</t>
        </is>
      </c>
      <c r="E9" s="8" t="n"/>
    </row>
    <row r="10" ht="105" customHeight="1">
      <c r="B10" s="9" t="inlineStr">
        <is>
          <t>待てる最大時間 W（ms）</t>
        </is>
      </c>
      <c r="C10" s="10" t="inlineStr">
        <is>
          <t>blocking-timeout-wait-millis ×（allocation-retry ＋ 1）＋ allocation-retry-wait-millis × allocation-retry</t>
        </is>
      </c>
      <c r="D10" s="10" t="inlineStr">
        <is>
          <t>既定は 30000 ×（0＋1）＋ 0 ＝ 30 秒。リトライ設定があると、その回数ぶん長くなる</t>
        </is>
      </c>
      <c r="E10" s="11" t="n"/>
    </row>
    <row r="11" ht="39" customHeight="1">
      <c r="B11" s="12" t="inlineStr">
        <is>
          <t>初回観測時刻 F</t>
        </is>
      </c>
      <c r="C11" s="13" t="inlineStr">
        <is>
          <t>そのスレッド名を待ち行列で最初に見た時刻</t>
        </is>
      </c>
      <c r="D11" s="13" t="inlineStr">
        <is>
          <t>実際に並び始めたのは F と同じかそれより前</t>
        </is>
      </c>
      <c r="E11" s="14" t="n"/>
    </row>
    <row r="12" ht="39" customHeight="1">
      <c r="B12" s="9" t="inlineStr">
        <is>
          <t>解消予定（遅くとも）</t>
        </is>
      </c>
      <c r="C12" s="10" t="inlineStr">
        <is>
          <t>F ＋ W</t>
        </is>
      </c>
      <c r="D12" s="10" t="inlineStr">
        <is>
          <t>この時刻までに「接続を得る」か「IJ000655 でエラー」のどちらかになり、行列からいなくなる（上限）</t>
        </is>
      </c>
      <c r="E12" s="11" t="n"/>
    </row>
    <row r="13" ht="8" customHeight="1"/>
    <row r="14" ht="41" customHeight="1">
      <c r="B14" s="17" t="inlineStr">
        <is>
          <t>根拠：IronJacamar は Semaphore.tryAcquire(blocking-timeout) で空きを待ち、時間切れなら例外を投げます（threads の出力にも Semaphore.tryAcquire が出ます）。pool-fair（既定 true）なので、待っている順番どおりに空きが割り当てられます。</t>
        </is>
      </c>
    </row>
    <row r="15" ht="4" customHeight="1"/>
    <row r="16" ht="6" customHeight="1"/>
    <row r="17" ht="24" customHeight="1">
      <c r="B17" s="15" t="inlineStr">
        <is>
          <t>■ ② アイドル接続の片付け予定（推定）</t>
        </is>
      </c>
      <c r="C17" s="16" t="n"/>
      <c r="D17" s="16" t="n"/>
      <c r="E17" s="16" t="n"/>
    </row>
    <row r="18" ht="4" customHeight="1"/>
    <row r="19" ht="22.5" customHeight="1">
      <c r="B19" s="7" t="inlineStr">
        <is>
          <t>ことば</t>
        </is>
      </c>
      <c r="C19" s="7" t="inlineStr">
        <is>
          <t>式</t>
        </is>
      </c>
      <c r="D19" s="7" t="inlineStr">
        <is>
          <t>説明</t>
        </is>
      </c>
      <c r="E19" s="8" t="n"/>
    </row>
    <row r="20" ht="55.5" customHeight="1">
      <c r="B20" s="9" t="inlineStr">
        <is>
          <t>見回り間隔 S</t>
        </is>
      </c>
      <c r="C20" s="10" t="inlineStr">
        <is>
          <t>（全プールの idle-timeout-minutes の最小値）× 60 ÷ 2 秒</t>
        </is>
      </c>
      <c r="D20" s="10" t="inlineStr">
        <is>
          <t>IdleRemover（片付け係）が起きる間隔。JVM 全体で 1 つ</t>
        </is>
      </c>
      <c r="E20" s="11" t="n"/>
    </row>
    <row r="21" ht="55.5" customHeight="1">
      <c r="B21" s="12" t="inlineStr">
        <is>
          <t>1 プールの最大チェック間隔 K</t>
        </is>
      </c>
      <c r="C21" s="13" t="inlineStr">
        <is>
          <t>S ＞ 60 秒なら S、そうでなければ S ×（INT(60 ÷ S) ＋ 1）</t>
        </is>
      </c>
      <c r="D21" s="13" t="inlineStr">
        <is>
          <t>既定の TimedOutDecrementer は 1 プールを「1 分に 1 回まで」しか調べない（例：S＝30 秒 → K＝90 秒）</t>
        </is>
      </c>
      <c r="E21" s="14" t="n"/>
    </row>
    <row r="22" ht="105" customHeight="1">
      <c r="B22" s="9" t="inlineStr">
        <is>
          <t>残る本数（床）</t>
        </is>
      </c>
      <c r="C22" s="10" t="inlineStr">
        <is>
          <t>pool-prefill か pool-use-strict-min が true なら MAX(min-pool-size, 使用中)、どちらも false なら 使用中</t>
        </is>
      </c>
      <c r="D22" s="10" t="inlineStr">
        <is>
          <t>どちらも false だと min-pool-size は守られず 0 本まで減る（実機とソースで確認）</t>
        </is>
      </c>
      <c r="E22" s="11" t="n"/>
    </row>
    <row r="23" ht="39" customHeight="1">
      <c r="B23" s="12" t="inlineStr">
        <is>
          <t>片付け対象</t>
        </is>
      </c>
      <c r="C23" s="13" t="inlineStr">
        <is>
          <t>ActiveCount − 残る本数</t>
        </is>
      </c>
      <c r="D23" s="13" t="inlineStr">
        <is>
          <t>これが 0 なら片付けは起きない</t>
        </is>
      </c>
      <c r="E23" s="14" t="n"/>
    </row>
    <row r="24" ht="55.5" customHeight="1">
      <c r="B24" s="9" t="inlineStr">
        <is>
          <t>最後に使用中だった時刻 U</t>
        </is>
      </c>
      <c r="C24" s="10" t="inlineStr">
        <is>
          <t>watch で「使用中がその段数以上」だった最後の観測時刻</t>
        </is>
      </c>
      <c r="D24" s="10" t="inlineStr">
        <is>
          <t>LIFO（新しく返された接続から貸す）なので、上の段（たくさん同時に使われたときだけ使う接続）ほど長く休んでいる</t>
        </is>
      </c>
      <c r="E24" s="11" t="n"/>
    </row>
    <row r="25" ht="121.5" customHeight="1">
      <c r="B25" s="12" t="inlineStr">
        <is>
          <t>返却ずみの時刻 R</t>
        </is>
      </c>
      <c r="C25" s="13" t="inlineStr">
        <is>
          <t>その段が「使用中でない」と初めて観測された時刻。さらに TotalUsageTime（返却のたびに増える累計）が増えていたら、その観測時刻も R の候補にする</t>
        </is>
      </c>
      <c r="D25" s="13" t="inlineStr">
        <is>
          <t>観測のすき間で一瞬だけ使われて返された接続も取りこぼさないため（検証で見つけて改良）</t>
        </is>
      </c>
      <c r="E25" s="14" t="n"/>
    </row>
    <row r="26" ht="39" customHeight="1">
      <c r="B26" s="9" t="inlineStr">
        <is>
          <t>片付け予定（早ければ）</t>
        </is>
      </c>
      <c r="C26" s="10" t="inlineStr">
        <is>
          <t>いちばん古い U ＋ idle-timeout</t>
        </is>
      </c>
      <c r="D26" s="10" t="inlineStr">
        <is>
          <t>これより前には閉じられない（下限）</t>
        </is>
      </c>
      <c r="E26" s="11" t="n"/>
    </row>
    <row r="27" ht="39" customHeight="1">
      <c r="B27" s="12" t="inlineStr">
        <is>
          <t>片付け予定（遅くとも）</t>
        </is>
      </c>
      <c r="C27" s="13" t="inlineStr">
        <is>
          <t>いちばん新しい R ＋ idle-timeout ＋ K</t>
        </is>
      </c>
      <c r="D27" s="13" t="inlineStr">
        <is>
          <t>見回りのタイミングのずれまで含めた上限（安全側）</t>
        </is>
      </c>
      <c r="E27" s="14" t="n"/>
    </row>
    <row r="28" ht="39" customHeight="1">
      <c r="B28" s="9" t="inlineStr">
        <is>
          <t>snapshot のとき</t>
        </is>
      </c>
      <c r="C28" s="10" t="inlineStr">
        <is>
          <t>今 ＋ idle-timeout ＋ K（遅くとも）</t>
        </is>
      </c>
      <c r="D28" s="10" t="inlineStr">
        <is>
          <t>過去の使用履歴が無いので「この先使われなければ遅くともこの時刻まで」</t>
        </is>
      </c>
      <c r="E28" s="11" t="n"/>
    </row>
    <row r="29" ht="8" customHeight="1"/>
    <row r="30" ht="74" customHeight="1">
      <c r="B30" s="17" t="inlineStr">
        <is>
          <t>根拠（IronJacamar のソースコード）：借りるときは deque の後ろから取り出し（pollLast）、返すときは後ろに戻す（addLast）＝ LIFO。片付け（removeIdleConnections）は先頭＝いちばん古い接続から順に調べ、タイムアウトしていない接続に当たったら止まります。また「now &lt; lastIdleCheck + 60000 ならスキップ」という 1 分制限があり、片付け後に min-pool-size まで補充（prefill）するのは pool-prefill か pool-use-strict-min が true のときだけです。</t>
        </is>
      </c>
    </row>
    <row r="31" ht="4" customHeight="1"/>
    <row r="32" ht="43" customHeight="1">
      <c r="B32" s="18" t="inlineStr">
        <is>
          <t>※ 推定には限界があります：観測と観測のあいだに一瞬だけ使われた接続は見えません。また background-validation（定期検証）が ON だと、検証のために接続が並び替わることがあります。「遅くとも」の時刻は安全側（遅め）に計算しています。</t>
        </is>
      </c>
      <c r="C32" s="19" t="n"/>
      <c r="D32" s="19" t="n"/>
      <c r="E32" s="19" t="n"/>
    </row>
    <row r="33" ht="8" customHeight="1"/>
    <row r="34" ht="6" customHeight="1"/>
    <row r="35" ht="24" customHeight="1">
      <c r="B35" s="15" t="inlineStr">
        <is>
          <t>■ 計算シート（Excel 版のみ：白い枠のセルを書きかえると、灰色のセルが自動で計算されます）</t>
        </is>
      </c>
      <c r="C35" s="16" t="n"/>
      <c r="D35" s="16" t="n"/>
      <c r="E35" s="16" t="n"/>
    </row>
    <row r="36" ht="4" customHeight="1"/>
    <row r="37" ht="43" customHeight="1">
      <c r="B37" s="18" t="inlineStr">
        <is>
          <t>使い方：白い太枠のセル（入力）を書きかえると、灰色のセル（計算）が自動で変わります。例の値は 08_検証結果 のテストで実際に観測した値です。</t>
        </is>
      </c>
      <c r="C37" s="19" t="n"/>
      <c r="D37" s="19" t="n"/>
      <c r="E37" s="19" t="n"/>
    </row>
    <row r="38" ht="4" customHeight="1"/>
    <row r="39" ht="22" customHeight="1">
      <c r="B39" s="30" t="inlineStr">
        <is>
          <t>項目</t>
        </is>
      </c>
      <c r="C39" s="30" t="inlineStr">
        <is>
          <t>値</t>
        </is>
      </c>
      <c r="D39" s="30" t="inlineStr">
        <is>
          <t>説明・計算式</t>
        </is>
      </c>
      <c r="E39" s="8" t="n"/>
    </row>
    <row r="40" ht="22" customHeight="1">
      <c r="B40" s="31" t="inlineStr">
        <is>
          <t>① 待ちの解消予定（遅くとも）</t>
        </is>
      </c>
      <c r="C40" s="32" t="n"/>
      <c r="D40" s="32" t="n"/>
      <c r="E40" s="32" t="n"/>
    </row>
    <row r="41" ht="22.5" customHeight="1">
      <c r="B41" s="33" t="inlineStr">
        <is>
          <t>初回観測時刻 F（入力）</t>
        </is>
      </c>
      <c r="C41" s="34" t="n">
        <v>0.2935300925925926</v>
      </c>
      <c r="D41" s="35" t="inlineStr">
        <is>
          <t>jbpool の queue 行に、そのスレッドが初めて出た時刻</t>
        </is>
      </c>
      <c r="E41" s="11" t="n"/>
    </row>
    <row r="42" ht="22.5" customHeight="1">
      <c r="B42" s="33" t="inlineStr">
        <is>
          <t>blocking-timeout-wait-millis（入力）</t>
        </is>
      </c>
      <c r="C42" s="36" t="n">
        <v>10000</v>
      </c>
      <c r="D42" s="35" t="inlineStr">
        <is>
          <t>config 行の値（未設定なら 30000）</t>
        </is>
      </c>
      <c r="E42" s="11" t="n"/>
    </row>
    <row r="43" ht="22.5" customHeight="1">
      <c r="B43" s="33" t="inlineStr">
        <is>
          <t>allocation-retry（入力）</t>
        </is>
      </c>
      <c r="C43" s="36" t="n">
        <v>0</v>
      </c>
      <c r="D43" s="35" t="inlineStr">
        <is>
          <t>未設定なら 0</t>
        </is>
      </c>
      <c r="E43" s="11" t="n"/>
    </row>
    <row r="44" ht="22.5" customHeight="1">
      <c r="B44" s="33" t="inlineStr">
        <is>
          <t>allocation-retry-wait-millis（入力）</t>
        </is>
      </c>
      <c r="C44" s="36" t="n">
        <v>0</v>
      </c>
      <c r="D44" s="35" t="inlineStr">
        <is>
          <t>未設定なら 0</t>
        </is>
      </c>
      <c r="E44" s="11" t="n"/>
    </row>
    <row r="45" ht="39" customHeight="1">
      <c r="B45" s="37" t="inlineStr">
        <is>
          <t>待てる最大時間 W（秒）（計算）</t>
        </is>
      </c>
      <c r="C45" s="38">
        <f>($C$42*($C$43+1)+$C$44*$C$43)/1000</f>
        <v/>
      </c>
      <c r="D45" s="35" t="inlineStr">
        <is>
          <t>式：=(BT*(AR+1)+ARW*AR)/1000　BT ×（AR＋1）＋ ARW × AR をミリ秒→秒に</t>
        </is>
      </c>
      <c r="E45" s="11" t="n"/>
    </row>
    <row r="46" ht="39" customHeight="1">
      <c r="B46" s="37" t="inlineStr">
        <is>
          <t>解消予定（遅くとも）（計算）</t>
        </is>
      </c>
      <c r="C46" s="39">
        <f>$C$41+$C$45/86400</f>
        <v/>
      </c>
      <c r="D46" s="35" t="inlineStr">
        <is>
          <t>式：=F+W/86400　この時刻までに、接続を得るか IJ000655 でエラーになる</t>
        </is>
      </c>
      <c r="E46" s="11" t="n"/>
    </row>
    <row r="47" ht="22" customHeight="1">
      <c r="B47" s="31" t="inlineStr">
        <is>
          <t>② アイドル接続の片付け予定</t>
        </is>
      </c>
      <c r="C47" s="32" t="n"/>
      <c r="D47" s="32" t="n"/>
      <c r="E47" s="32" t="n"/>
    </row>
    <row r="48" ht="39" customHeight="1">
      <c r="B48" s="33" t="inlineStr">
        <is>
          <t>最後に使用中だった時刻 U（いちばん古いもの）（入力）</t>
        </is>
      </c>
      <c r="C48" s="34" t="n">
        <v>0.2936805555555556</v>
      </c>
      <c r="D48" s="35" t="inlineStr">
        <is>
          <t>watch で、片付け対象の段が最後に使用中だった時刻</t>
        </is>
      </c>
      <c r="E48" s="11" t="n"/>
    </row>
    <row r="49" ht="39" customHeight="1">
      <c r="B49" s="33" t="inlineStr">
        <is>
          <t>返却ずみの時刻 R（いちばん新しいもの）（入力）</t>
        </is>
      </c>
      <c r="C49" s="34" t="n">
        <v>0.2939814814814815</v>
      </c>
      <c r="D49" s="35" t="inlineStr">
        <is>
          <t>使用中でないと初めて見えた時刻／TotalUsageTime が増えた観測時刻</t>
        </is>
      </c>
      <c r="E49" s="11" t="n"/>
    </row>
    <row r="50" ht="39" customHeight="1">
      <c r="B50" s="33" t="inlineStr">
        <is>
          <t>idle-timeout-minutes（このプール）（入力）</t>
        </is>
      </c>
      <c r="C50" s="36" t="n">
        <v>1</v>
      </c>
      <c r="D50" s="35" t="inlineStr">
        <is>
          <t>未設定なら 30</t>
        </is>
      </c>
      <c r="E50" s="11" t="n"/>
    </row>
    <row r="51" ht="39" customHeight="1">
      <c r="B51" s="33" t="inlineStr">
        <is>
          <t>idle-timeout-minutes（全プールの最小）（入力）</t>
        </is>
      </c>
      <c r="C51" s="36" t="n">
        <v>1</v>
      </c>
      <c r="D51" s="35" t="inlineStr">
        <is>
          <t>IdleRemover は JVM に 1 つ。いちばん短い設定に合わせて起きる</t>
        </is>
      </c>
      <c r="E51" s="11" t="n"/>
    </row>
    <row r="52" ht="22.5" customHeight="1">
      <c r="B52" s="37" t="inlineStr">
        <is>
          <t>見回り間隔 S（秒）（計算）</t>
        </is>
      </c>
      <c r="C52" s="38">
        <f>$C$51*60/2</f>
        <v/>
      </c>
      <c r="D52" s="35" t="inlineStr">
        <is>
          <t>式：=ITMIN*60/2　最小 idle-timeout の半分</t>
        </is>
      </c>
      <c r="E52" s="11" t="n"/>
    </row>
    <row r="53" ht="39" customHeight="1">
      <c r="B53" s="37" t="inlineStr">
        <is>
          <t>1 プールの最大チェック間隔 K（秒）（計算）</t>
        </is>
      </c>
      <c r="C53" s="38">
        <f>IF($C$52&gt;60,$C$52,$C$52*(INT(60/$C$52)+1))</f>
        <v/>
      </c>
      <c r="D53" s="35" t="inlineStr">
        <is>
          <t>式：=IF(S&gt;60,S,S*(INT(60/S)+1))　1 プールは 1 分に 1 回までしか調べられないため</t>
        </is>
      </c>
      <c r="E53" s="11" t="n"/>
    </row>
    <row r="54" ht="22.5" customHeight="1">
      <c r="B54" s="37" t="inlineStr">
        <is>
          <t>片付け予定（早ければ）（計算）</t>
        </is>
      </c>
      <c r="C54" s="39">
        <f>$C$48+$C$50*60/86400</f>
        <v/>
      </c>
      <c r="D54" s="35" t="inlineStr">
        <is>
          <t>式：=U+IT*60/86400　これより前には閉じられない</t>
        </is>
      </c>
      <c r="E54" s="11" t="n"/>
    </row>
    <row r="55" ht="22.5" customHeight="1">
      <c r="B55" s="37" t="inlineStr">
        <is>
          <t>片付け予定（遅くとも）（計算）</t>
        </is>
      </c>
      <c r="C55" s="39">
        <f>$C$49+($C$50*60+$C$53)/86400</f>
        <v/>
      </c>
      <c r="D55" s="35" t="inlineStr">
        <is>
          <t>式：=R+(IT*60+KK)/86400　見回りのずれまで含めた上限</t>
        </is>
      </c>
      <c r="E55" s="11" t="n"/>
    </row>
    <row r="56" ht="22" customHeight="1">
      <c r="B56" s="31" t="inlineStr">
        <is>
          <t>③ 片付けたあとに残る本数</t>
        </is>
      </c>
      <c r="C56" s="32" t="n"/>
      <c r="D56" s="32" t="n"/>
      <c r="E56" s="32" t="n"/>
    </row>
    <row r="57" ht="22.5" customHeight="1">
      <c r="B57" s="33" t="inlineStr">
        <is>
          <t>min-pool-size（入力）</t>
        </is>
      </c>
      <c r="C57" s="36" t="n">
        <v>1</v>
      </c>
      <c r="D57" s="35" t="inlineStr"/>
      <c r="E57" s="11" t="n"/>
    </row>
    <row r="58" ht="22.5" customHeight="1">
      <c r="B58" s="33" t="inlineStr">
        <is>
          <t>pool-prefill（TRUE／FALSE）（入力）</t>
        </is>
      </c>
      <c r="C58" s="36" t="b">
        <v>0</v>
      </c>
      <c r="D58" s="35" t="inlineStr"/>
      <c r="E58" s="11" t="n"/>
    </row>
    <row r="59" ht="39" customHeight="1">
      <c r="B59" s="33" t="inlineStr">
        <is>
          <t>pool-use-strict-min（TRUE／FALSE）（入力）</t>
        </is>
      </c>
      <c r="C59" s="36" t="b">
        <v>0</v>
      </c>
      <c r="D59" s="35" t="inlineStr"/>
      <c r="E59" s="11" t="n"/>
    </row>
    <row r="60" ht="22.5" customHeight="1">
      <c r="B60" s="33" t="inlineStr">
        <is>
          <t>いまの使用中 InUseCount（入力）</t>
        </is>
      </c>
      <c r="C60" s="36" t="n">
        <v>0</v>
      </c>
      <c r="D60" s="35" t="inlineStr"/>
      <c r="E60" s="11" t="n"/>
    </row>
    <row r="61" ht="22.5" customHeight="1">
      <c r="B61" s="33" t="inlineStr">
        <is>
          <t>いまの合計 ActiveCount（入力）</t>
        </is>
      </c>
      <c r="C61" s="36" t="n">
        <v>3</v>
      </c>
      <c r="D61" s="35" t="inlineStr"/>
      <c r="E61" s="11" t="n"/>
    </row>
    <row r="62" ht="39" customHeight="1">
      <c r="B62" s="37" t="inlineStr">
        <is>
          <t>残る本数（床）（計算）</t>
        </is>
      </c>
      <c r="C62" s="40">
        <f>IF(OR($C$58,$C$59),MAX($C$57,$C$60),$C$60)</f>
        <v/>
      </c>
      <c r="D62" s="35" t="inlineStr">
        <is>
          <t>式：=IF(OR(PF,SM),MAX(MN,USE),USE)　prefill も strict-min も FALSE なら min-pool-size は守られない</t>
        </is>
      </c>
      <c r="E62" s="11" t="n"/>
    </row>
    <row r="63" ht="22.5" customHeight="1">
      <c r="B63" s="37" t="inlineStr">
        <is>
          <t>片付け対象の本数（計算）</t>
        </is>
      </c>
      <c r="C63" s="40">
        <f>MAX(0,$C$61-$C$62)</f>
        <v/>
      </c>
      <c r="D63" s="35" t="inlineStr">
        <is>
          <t>式：=MAX(0,ACT-FL)</t>
        </is>
      </c>
      <c r="E63" s="11" t="n"/>
    </row>
    <row r="64" ht="8" customHeight="1"/>
    <row r="65" ht="6" customHeight="1"/>
    <row r="66" ht="24" customHeight="1">
      <c r="B66" s="15" t="inlineStr">
        <is>
          <t>■ 実機での答え合わせ</t>
        </is>
      </c>
      <c r="C66" s="16" t="n"/>
      <c r="D66" s="16" t="n"/>
      <c r="E66" s="16" t="n"/>
    </row>
    <row r="67" ht="4" customHeight="1"/>
    <row r="68" ht="39" customHeight="1">
      <c r="B68" s="7" t="inlineStr">
        <is>
          <t>項目</t>
        </is>
      </c>
      <c r="C68" s="7" t="inlineStr">
        <is>
          <t>予定（jbpool の表示）</t>
        </is>
      </c>
      <c r="D68" s="7" t="inlineStr">
        <is>
          <t>実際</t>
        </is>
      </c>
      <c r="E68" s="8" t="n"/>
    </row>
    <row r="69" ht="72" customHeight="1">
      <c r="B69" s="9" t="inlineStr">
        <is>
          <t>待ちの解消</t>
        </is>
      </c>
      <c r="C69" s="10" t="inlineStr">
        <is>
          <t>初回観測 07:02:41 ＋ 待てる最大時間 10 秒 → 遅くとも 07:02:51</t>
        </is>
      </c>
      <c r="D69" s="10" t="inlineStr">
        <is>
          <t>3 件とも 10,000〜10,001 ms 待って IJ000453 で終了（07:02:47〜48 ごろ）。予定内</t>
        </is>
      </c>
      <c r="E69" s="11" t="n"/>
    </row>
    <row r="70" ht="138" customHeight="1">
      <c r="B70" s="12" t="inlineStr">
        <is>
          <t>アイドル片付け</t>
        </is>
      </c>
      <c r="C70" s="13" t="inlineStr">
        <is>
          <t>早ければ 07:03:54（最後に使用中 07:02:54 ＋ 1 分）／遅くとも 07:05:50（07:03:15〜18 のすき間利用を TotalUsageTime で検知 → 07:03:20 ＋ 1 分 ＋ K 90 秒）</t>
        </is>
      </c>
      <c r="D70" s="13" t="inlineStr">
        <is>
          <t>1 本目は 07:04:05〜12、残り 2 本は 07:05:37〜47 に片付け（3→0）。予定内</t>
        </is>
      </c>
      <c r="E70" s="14" t="n"/>
    </row>
    <row r="71" ht="72" customHeight="1">
      <c r="B71" s="9" t="inlineStr">
        <is>
          <t>改良前との比較</t>
        </is>
      </c>
      <c r="C71" s="10" t="inlineStr">
        <is>
          <t>1 回目の検証では、すき間利用を見落として「遅くとも 06:58:02」と表示</t>
        </is>
      </c>
      <c r="D71" s="10" t="inlineStr">
        <is>
          <t>実際は 06:58:03〜11 に片付け（数秒の超過）→ TotalUsageTime による検知を追加して上の結果に</t>
        </is>
      </c>
      <c r="E71" s="11" t="n"/>
    </row>
    <row r="72" ht="39" customHeight="1">
      <c r="B72" s="12" t="inlineStr">
        <is>
          <t>min-pool-size</t>
        </is>
      </c>
      <c r="C72" s="13" t="inlineStr">
        <is>
          <t>min=1 でも prefill／strict-min が false</t>
        </is>
      </c>
      <c r="D72" s="13" t="inlineStr">
        <is>
          <t>0 本まで減った（ソースコードどおり）</t>
        </is>
      </c>
      <c r="E72" s="14" t="n"/>
    </row>
    <row r="73" ht="8" customHeight="1"/>
  </sheetData>
  <mergeCells count="55">
    <mergeCell ref="D69:E69"/>
    <mergeCell ref="D20:E20"/>
    <mergeCell ref="B40:E40"/>
    <mergeCell ref="D60:E60"/>
    <mergeCell ref="D10:E10"/>
    <mergeCell ref="D19:E19"/>
    <mergeCell ref="D63:E63"/>
    <mergeCell ref="B30:E30"/>
    <mergeCell ref="D46:E46"/>
    <mergeCell ref="D22:E22"/>
    <mergeCell ref="D45:E45"/>
    <mergeCell ref="D21:E21"/>
    <mergeCell ref="B32:E32"/>
    <mergeCell ref="D52:E52"/>
    <mergeCell ref="B35:E35"/>
    <mergeCell ref="B4:E4"/>
    <mergeCell ref="D11:E11"/>
    <mergeCell ref="D49:E49"/>
    <mergeCell ref="D27:E27"/>
    <mergeCell ref="D57:E57"/>
    <mergeCell ref="B7:E7"/>
    <mergeCell ref="D61:E61"/>
    <mergeCell ref="B47:E47"/>
    <mergeCell ref="D41:E41"/>
    <mergeCell ref="D70:E70"/>
    <mergeCell ref="D48:E48"/>
    <mergeCell ref="B66:E66"/>
    <mergeCell ref="D53:E53"/>
    <mergeCell ref="B56:E56"/>
    <mergeCell ref="D72:E72"/>
    <mergeCell ref="D43:E43"/>
    <mergeCell ref="D28:E28"/>
    <mergeCell ref="D62:E62"/>
    <mergeCell ref="B2:E2"/>
    <mergeCell ref="D58:E58"/>
    <mergeCell ref="D71:E71"/>
    <mergeCell ref="D9:E9"/>
    <mergeCell ref="B14:E14"/>
    <mergeCell ref="D12:E12"/>
    <mergeCell ref="D25:E25"/>
    <mergeCell ref="D39:E39"/>
    <mergeCell ref="B17:E17"/>
    <mergeCell ref="B1:E1"/>
    <mergeCell ref="D55:E55"/>
    <mergeCell ref="D24:E24"/>
    <mergeCell ref="D42:E42"/>
    <mergeCell ref="D68:E68"/>
    <mergeCell ref="D51:E51"/>
    <mergeCell ref="D23:E23"/>
    <mergeCell ref="D54:E54"/>
    <mergeCell ref="B37:E37"/>
    <mergeCell ref="D50:E50"/>
    <mergeCell ref="D26:E26"/>
    <mergeCell ref="D44:E44"/>
    <mergeCell ref="D59:E59"/>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9.xml><?xml version="1.0" encoding="utf-8"?>
<worksheet xmlns="http://schemas.openxmlformats.org/spreadsheetml/2006/main">
  <sheetPr>
    <tabColor rgb="00262626"/>
    <outlinePr summaryBelow="1" summaryRight="1"/>
    <pageSetUpPr fitToPage="1"/>
  </sheetPr>
  <dimension ref="B1:E40"/>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0" customWidth="1" min="2" max="2"/>
    <col width="44" customWidth="1" min="3" max="3"/>
    <col width="50" customWidth="1" min="4" max="4"/>
    <col width="12" customWidth="1" min="5" max="5"/>
  </cols>
  <sheetData>
    <row r="1" ht="34" customHeight="1">
      <c r="B1" s="1" t="inlineStr">
        <is>
          <t>検証結果 ― 実際に動かして確かめたこと</t>
        </is>
      </c>
      <c r="C1" s="2" t="n"/>
      <c r="D1" s="2" t="n"/>
      <c r="E1" s="2" t="n"/>
    </row>
    <row r="2" ht="18" customHeight="1">
      <c r="B2" s="3" t="inlineStr">
        <is>
          <t>JBoss EAP コネクションプール確認コマンド「jbpool」解説書　｜　2026-10-17</t>
        </is>
      </c>
      <c r="C2" s="4" t="n"/>
      <c r="D2" s="4" t="n"/>
      <c r="E2" s="4" t="n"/>
    </row>
    <row r="3" ht="10" customHeight="1"/>
    <row r="4" ht="46.65" customHeight="1">
      <c r="B4" s="5" t="inlineStr">
        <is>
          <t>EAP そのものではなく、上流の WildFly 41.0.1.Final（EAP 8 系と同じ管理モデル・同じ IronJacamar 系統）で検証しました。EAP の本番に入れる前に、検証環境で一度 snapshot を実行して表示を確認することをおすすめします。</t>
        </is>
      </c>
      <c r="C4" s="6" t="n"/>
      <c r="D4" s="6" t="n"/>
      <c r="E4" s="6" t="n"/>
    </row>
    <row r="5" ht="8" customHeight="1"/>
    <row r="6" ht="6" customHeight="1"/>
    <row r="7" ht="24" customHeight="1">
      <c r="B7" s="15" t="inlineStr">
        <is>
          <t>■ 検証環境</t>
        </is>
      </c>
      <c r="C7" s="16" t="n"/>
      <c r="D7" s="16" t="n"/>
      <c r="E7" s="16" t="n"/>
    </row>
    <row r="8" ht="4" customHeight="1"/>
    <row r="9" ht="22.5" customHeight="1">
      <c r="B9" s="7" t="inlineStr">
        <is>
          <t>項目</t>
        </is>
      </c>
      <c r="C9" s="7" t="inlineStr">
        <is>
          <t>内容</t>
        </is>
      </c>
      <c r="D9" s="8" t="n"/>
      <c r="E9" s="8" t="n"/>
    </row>
    <row r="10" ht="22.5" customHeight="1">
      <c r="B10" s="9" t="inlineStr">
        <is>
          <t>ホスト</t>
        </is>
      </c>
      <c r="C10" s="10" t="inlineStr">
        <is>
          <t>Windows 11 ＋ Docker Desktop（Docker Engine 29.8.1）</t>
        </is>
      </c>
      <c r="D10" s="11" t="n"/>
      <c r="E10" s="11" t="n"/>
    </row>
    <row r="11" ht="39" customHeight="1">
      <c r="B11" s="12" t="inlineStr">
        <is>
          <t>イメージ</t>
        </is>
      </c>
      <c r="C11" s="13" t="inlineStr">
        <is>
          <t>quay.io/wildfly/wildfly:latest → WildFly 41.0.1.Final（WildFly Core 33.0.1.Final）、RHEL 10.2 ベース</t>
        </is>
      </c>
      <c r="D11" s="14" t="n"/>
      <c r="E11" s="14" t="n"/>
    </row>
    <row r="12" ht="39" customHeight="1">
      <c r="B12" s="9" t="inlineStr">
        <is>
          <t>構成</t>
        </is>
      </c>
      <c r="C12" s="10" t="inlineStr">
        <is>
          <t>front と back の 2 コンテナ。back は network_mode: service:front（ECS の awsvpc と同じく localhost を共有）＋ -Djboss.socket.binding.port-offset=100</t>
        </is>
      </c>
      <c r="D12" s="11" t="n"/>
      <c r="E12" s="11" t="n"/>
    </row>
    <row r="13" ht="39" customHeight="1">
      <c r="B13" s="12" t="inlineStr">
        <is>
          <t>データソース</t>
        </is>
      </c>
      <c r="C13" s="13" t="inlineStr">
        <is>
          <t>ExampleDS（H2）。back は max-pool-size=3／min-pool-size=1／idle-timeout-minutes=1／blocking-timeout-wait-millis=10000 に変更、front は既定値</t>
        </is>
      </c>
      <c r="D13" s="14" t="n"/>
      <c r="E13" s="14" t="n"/>
    </row>
    <row r="14" ht="22.5" customHeight="1">
      <c r="B14" s="9" t="inlineStr">
        <is>
          <t>負荷のかけ方</t>
        </is>
      </c>
      <c r="C14" s="10" t="inlineStr">
        <is>
          <t>接続を指定秒つかんだまま待つテスト用 JSP（hold.jsp）に、同時に 6 本リクエスト</t>
        </is>
      </c>
      <c r="D14" s="11" t="n"/>
      <c r="E14" s="11" t="n"/>
    </row>
    <row r="15" ht="22.5" customHeight="1">
      <c r="B15" s="12" t="inlineStr">
        <is>
          <t>シェル／awk</t>
        </is>
      </c>
      <c r="C15" s="13" t="inlineStr">
        <is>
          <t>bash（対話モード・履歴展開あり）、sh、dash、BusyBox ash ／ gawk、mawk、BusyBox awk</t>
        </is>
      </c>
      <c r="D15" s="14" t="n"/>
      <c r="E15" s="14" t="n"/>
    </row>
    <row r="16" ht="8" customHeight="1"/>
    <row r="17" ht="6" customHeight="1"/>
    <row r="18" ht="24" customHeight="1">
      <c r="B18" s="15" t="inlineStr">
        <is>
          <t>■ 検証項目と結果</t>
        </is>
      </c>
      <c r="C18" s="16" t="n"/>
      <c r="D18" s="16" t="n"/>
      <c r="E18" s="16" t="n"/>
    </row>
    <row r="19" ht="4" customHeight="1"/>
    <row r="20" ht="22.5" customHeight="1">
      <c r="B20" s="7" t="inlineStr">
        <is>
          <t>検証項目</t>
        </is>
      </c>
      <c r="C20" s="7" t="inlineStr">
        <is>
          <t>やったこと</t>
        </is>
      </c>
      <c r="D20" s="7" t="inlineStr">
        <is>
          <t>結果</t>
        </is>
      </c>
      <c r="E20" s="7" t="inlineStr">
        <is>
          <t>判定</t>
        </is>
      </c>
    </row>
    <row r="21" ht="39" customHeight="1">
      <c r="B21" s="9" t="inlineStr">
        <is>
          <t>管理ポートの自動判別</t>
        </is>
      </c>
      <c r="C21" s="10" t="inlineStr">
        <is>
          <t>同じネットワークを共有する front／back で snapshot</t>
        </is>
      </c>
      <c r="D21" s="10" t="inlineStr">
        <is>
          <t>front は 9990、back は 10090（9990＋100）に自動接続</t>
        </is>
      </c>
      <c r="E21" s="10" t="inlineStr">
        <is>
          <t>OK</t>
        </is>
      </c>
    </row>
    <row r="22" ht="39" customHeight="1">
      <c r="B22" s="12" t="inlineStr">
        <is>
          <t>統計 OFF の検出と ON</t>
        </is>
      </c>
      <c r="C22" s="13" t="inlineStr">
        <is>
          <t>初期状態で snapshot → enable-stats</t>
        </is>
      </c>
      <c r="D22" s="13" t="inlineStr">
        <is>
          <t>STATS-OFF 表示 → 実行時属性（storage=runtime）として即 true</t>
        </is>
      </c>
      <c r="E22" s="13" t="inlineStr">
        <is>
          <t>OK</t>
        </is>
      </c>
    </row>
    <row r="23" ht="39" customHeight="1">
      <c r="B23" s="9" t="inlineStr">
        <is>
          <t>プール設定の変更</t>
        </is>
      </c>
      <c r="C23" s="10" t="inlineStr">
        <is>
          <t>max-pool-size などを write-attribute</t>
        </is>
      </c>
      <c r="D23" s="10" t="inlineStr">
        <is>
          <t>WildFly 41 では process-state=reload-required（＝本番では気軽に変えない）</t>
        </is>
      </c>
      <c r="E23" s="10" t="inlineStr">
        <is>
          <t>確認</t>
        </is>
      </c>
    </row>
    <row r="24" ht="39" customHeight="1">
      <c r="B24" s="12" t="inlineStr">
        <is>
          <t>あふれの検出</t>
        </is>
      </c>
      <c r="C24" s="13" t="inlineStr">
        <is>
          <t>max 3 に 6 本同時</t>
        </is>
      </c>
      <c r="D24" s="13" t="inlineStr">
        <is>
          <t>STATUS=OVERFLOW、QUEUE=3、待ちスレッド名（default task-◯）を表示</t>
        </is>
      </c>
      <c r="E24" s="13" t="inlineStr">
        <is>
          <t>OK</t>
        </is>
      </c>
    </row>
    <row r="25" ht="39" customHeight="1">
      <c r="B25" s="9" t="inlineStr">
        <is>
          <t>待ちの解消予定</t>
        </is>
      </c>
      <c r="C25" s="10" t="inlineStr">
        <is>
          <t>初回観測＋待てる最大時間を表示</t>
        </is>
      </c>
      <c r="D25" s="10" t="inlineStr">
        <is>
          <t>予定 07:02:51 に対し、3 本が 10,000〜10,001 ms で IJ000453 終了（07:02:48 ごろ、予定内）</t>
        </is>
      </c>
      <c r="E25" s="10" t="inlineStr">
        <is>
          <t>OK</t>
        </is>
      </c>
    </row>
    <row r="26" ht="39" customHeight="1">
      <c r="B26" s="12" t="inlineStr">
        <is>
          <t>タイムアウトの検出</t>
        </is>
      </c>
      <c r="C26" s="13" t="inlineStr">
        <is>
          <t>watch の増分</t>
        </is>
      </c>
      <c r="D26" s="13" t="inlineStr">
        <is>
          <t>TMOUT +3、STATUS=FULL+TMOUT、event に「3 TIMEOUT error(s)」</t>
        </is>
      </c>
      <c r="E26" s="13" t="inlineStr">
        <is>
          <t>OK</t>
        </is>
      </c>
    </row>
    <row r="27" ht="39" customHeight="1">
      <c r="B27" s="9" t="inlineStr">
        <is>
          <t>アイドル片付けの予定</t>
        </is>
      </c>
      <c r="C27" s="10" t="inlineStr">
        <is>
          <t>負荷のあと放置（途中 07:03:15 に 3 秒だけ 2 本使う）</t>
        </is>
      </c>
      <c r="D27" s="10" t="inlineStr">
        <is>
          <t>予定 07:03:54〜07:05:50 に対し、07:04:05〜12 に 1 本、07:05:37〜47 に 2 本片付け</t>
        </is>
      </c>
      <c r="E27" s="10" t="inlineStr">
        <is>
          <t>OK</t>
        </is>
      </c>
    </row>
    <row r="28" ht="55.5" customHeight="1">
      <c r="B28" s="12" t="inlineStr">
        <is>
          <t>観測のすき間の利用</t>
        </is>
      </c>
      <c r="C28" s="13" t="inlineStr">
        <is>
          <t>サンプルとサンプルのあいだだけ接続を使う</t>
        </is>
      </c>
      <c r="D28" s="13" t="inlineStr">
        <is>
          <t>1 回目は予定 06:58:02 を数秒超過 → TotalUsageTime の増加で「見えない返却」を検知する改良を入れ、再検証で予定内に</t>
        </is>
      </c>
      <c r="E28" s="13" t="inlineStr">
        <is>
          <t>改良済</t>
        </is>
      </c>
    </row>
    <row r="29" ht="39" customHeight="1">
      <c r="B29" s="9" t="inlineStr">
        <is>
          <t>min-pool-size の扱い</t>
        </is>
      </c>
      <c r="C29" s="10" t="inlineStr">
        <is>
          <t>min=1・prefill=false・strict-min=false</t>
        </is>
      </c>
      <c r="D29" s="10" t="inlineStr">
        <is>
          <t>0 本まで減少 → 表示とアドバイスを実装に合わせて修正済み</t>
        </is>
      </c>
      <c r="E29" s="10" t="inlineStr">
        <is>
          <t>OK</t>
        </is>
      </c>
    </row>
    <row r="30" ht="39" customHeight="1">
      <c r="B30" s="12" t="inlineStr">
        <is>
          <t>待ち場所の特定</t>
        </is>
      </c>
      <c r="C30" s="13" t="inlineStr">
        <is>
          <t>jbpool threads</t>
        </is>
      </c>
      <c r="D30" s="13" t="inlineStr">
        <is>
          <t>hold_jsp → WrapperDataSource.getConnection → Semaphore.tryAcquire のスタックを表示</t>
        </is>
      </c>
      <c r="E30" s="13" t="inlineStr">
        <is>
          <t>OK</t>
        </is>
      </c>
    </row>
    <row r="31" ht="22.5" customHeight="1">
      <c r="B31" s="9" t="inlineStr">
        <is>
          <t>CSV 出力</t>
        </is>
      </c>
      <c r="C31" s="10" t="inlineStr">
        <is>
          <t>JBP_CSV と csv モード</t>
        </is>
      </c>
      <c r="D31" s="10" t="inlineStr">
        <is>
          <t>ヘッダー 1 回＋1 観測 1 行で追記</t>
        </is>
      </c>
      <c r="E31" s="10" t="inlineStr">
        <is>
          <t>OK</t>
        </is>
      </c>
    </row>
    <row r="32" ht="39" customHeight="1">
      <c r="B32" s="12" t="inlineStr">
        <is>
          <t>貼り付け安全性</t>
        </is>
      </c>
      <c r="C32" s="13" t="inlineStr">
        <is>
          <t>対話 bash（履歴展開 ON）に全文を流し込み、続けて watch／csv／help</t>
        </is>
      </c>
      <c r="D32" s="13" t="inlineStr">
        <is>
          <t>「event not found」などのエラーなし。最後に snapshot が自動実行</t>
        </is>
      </c>
      <c r="E32" s="13" t="inlineStr">
        <is>
          <t>OK</t>
        </is>
      </c>
    </row>
    <row r="33" ht="39" customHeight="1">
      <c r="B33" s="9" t="inlineStr">
        <is>
          <t>awk の互換性</t>
        </is>
      </c>
      <c r="C33" s="10" t="inlineStr">
        <is>
          <t>同じ生データを gawk／mawk／BusyBox awk で表示</t>
        </is>
      </c>
      <c r="D33" s="10" t="inlineStr">
        <is>
          <t>3 つとも同じ表示（同時刻のスレッド名の並び順だけ差）</t>
        </is>
      </c>
      <c r="E33" s="10" t="inlineStr">
        <is>
          <t>OK</t>
        </is>
      </c>
    </row>
    <row r="34" ht="22.5" customHeight="1">
      <c r="B34" s="12" t="inlineStr">
        <is>
          <t>シェルの互換性</t>
        </is>
      </c>
      <c r="C34" s="13" t="inlineStr">
        <is>
          <t>dash -n／BusyBox sh -n</t>
        </is>
      </c>
      <c r="D34" s="13" t="inlineStr">
        <is>
          <t>構文エラーなし</t>
        </is>
      </c>
      <c r="E34" s="13" t="inlineStr">
        <is>
          <t>OK</t>
        </is>
      </c>
    </row>
    <row r="35" ht="39" customHeight="1">
      <c r="B35" s="9" t="inlineStr">
        <is>
          <t>機密情報を読まない</t>
        </is>
      </c>
      <c r="C35" s="10" t="inlineStr">
        <is>
          <t>raw 出力を password／user-name／connection-url で検索</t>
        </is>
      </c>
      <c r="D35" s="10" t="inlineStr">
        <is>
          <t>0 件（属性を個別に読む設計のため）</t>
        </is>
      </c>
      <c r="E35" s="10" t="inlineStr">
        <is>
          <t>OK</t>
        </is>
      </c>
    </row>
    <row r="36" ht="39" customHeight="1">
      <c r="B36" s="12" t="inlineStr">
        <is>
          <t>CLI の使用メモリ</t>
        </is>
      </c>
      <c r="C36" s="13" t="inlineStr">
        <is>
          <t>CLI 実行中の RSS を測定</t>
        </is>
      </c>
      <c r="D36" s="13" t="inlineStr">
        <is>
          <t>隔離設定で約 119 MB、サーバーの -Xms1g を引き継ぐと約 217 MB → 隔離が有効</t>
        </is>
      </c>
      <c r="E36" s="13" t="inlineStr">
        <is>
          <t>OK</t>
        </is>
      </c>
    </row>
    <row r="37" ht="39" customHeight="1">
      <c r="B37" s="9" t="inlineStr">
        <is>
          <t>メモリ不足時の停止</t>
        </is>
      </c>
      <c r="C37" s="10" t="inlineStr">
        <is>
          <t>上限 700 MB のコンテナで JBP_MIN_FREE_MB を大きくして実行</t>
        </is>
      </c>
      <c r="D37" s="10" t="inlineStr">
        <is>
          <t>「STOP: headroom …」で停止、JBP_FORCE=1 で実行可</t>
        </is>
      </c>
      <c r="E37" s="10" t="inlineStr">
        <is>
          <t>OK</t>
        </is>
      </c>
    </row>
    <row r="38" ht="39" customHeight="1">
      <c r="B38" s="12" t="inlineStr">
        <is>
          <t>接続失敗時のヒント</t>
        </is>
      </c>
      <c r="C38" s="13" t="inlineStr">
        <is>
          <t>MGMT_PORT=19999 で実行</t>
        </is>
      </c>
      <c r="D38" s="13" t="inlineStr">
        <is>
          <t>接続失敗の内容と「port-offset を確認」のヒントを表示</t>
        </is>
      </c>
      <c r="E38" s="13" t="inlineStr">
        <is>
          <t>OK</t>
        </is>
      </c>
    </row>
    <row r="39" ht="8" customHeight="1"/>
    <row r="40" ht="43" customHeight="1">
      <c r="B40" s="18" t="inlineStr">
        <is>
          <t>※ 所要時間：CLI は 1 回あたり JVM を起動するため 2〜3 秒かかります（snapshot は 2 回起動で約 5 秒）。watch の実際の間隔は「指定秒＋約 2〜3 秒」になります。</t>
        </is>
      </c>
      <c r="C40" s="19" t="n"/>
      <c r="D40" s="19" t="n"/>
      <c r="E40" s="19" t="n"/>
    </row>
    <row r="41" ht="8" customHeight="1"/>
  </sheetData>
  <mergeCells count="13">
    <mergeCell ref="B40:E40"/>
    <mergeCell ref="B18:E18"/>
    <mergeCell ref="B1:E1"/>
    <mergeCell ref="C11:E11"/>
    <mergeCell ref="C14:E14"/>
    <mergeCell ref="B4:E4"/>
    <mergeCell ref="C13:E13"/>
    <mergeCell ref="C15:E15"/>
    <mergeCell ref="C9:E9"/>
    <mergeCell ref="B7:E7"/>
    <mergeCell ref="B2:E2"/>
    <mergeCell ref="C12:E12"/>
    <mergeCell ref="C10:E10"/>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10.xml><?xml version="1.0" encoding="utf-8"?>
<worksheet xmlns="http://schemas.openxmlformats.org/spreadsheetml/2006/main">
  <sheetPr>
    <tabColor rgb="00404040"/>
    <outlinePr summaryBelow="1" summaryRight="1"/>
    <pageSetUpPr fitToPage="1"/>
  </sheetPr>
  <dimension ref="B1:E40"/>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4" customWidth="1" min="2" max="2"/>
    <col width="40" customWidth="1" min="3" max="3"/>
    <col width="54" customWidth="1" min="4" max="4"/>
    <col width="10" customWidth="1" min="5" max="5"/>
  </cols>
  <sheetData>
    <row r="1" ht="34" customHeight="1">
      <c r="B1" s="1" t="inlineStr">
        <is>
          <t>注意点とトラブル対応</t>
        </is>
      </c>
      <c r="C1" s="2" t="n"/>
      <c r="D1" s="2" t="n"/>
      <c r="E1" s="2" t="n"/>
    </row>
    <row r="2" ht="18" customHeight="1">
      <c r="B2" s="3" t="inlineStr">
        <is>
          <t>JBoss EAP コネクションプール確認コマンド「jbpool」解説書　｜　2026-10-17</t>
        </is>
      </c>
      <c r="C2" s="4" t="n"/>
      <c r="D2" s="4" t="n"/>
      <c r="E2" s="4" t="n"/>
    </row>
    <row r="3" ht="10" customHeight="1"/>
    <row r="4" ht="22.5" customHeight="1">
      <c r="B4" s="7" t="inlineStr">
        <is>
          <t>症状・注意</t>
        </is>
      </c>
      <c r="C4" s="7" t="inlineStr">
        <is>
          <t>原因</t>
        </is>
      </c>
      <c r="D4" s="7" t="inlineStr">
        <is>
          <t>対処</t>
        </is>
      </c>
      <c r="E4" s="8" t="n"/>
    </row>
    <row r="5" ht="55.5" customHeight="1">
      <c r="B5" s="9" t="inlineStr">
        <is>
          <t>Failed to connect to the controller</t>
        </is>
      </c>
      <c r="C5" s="10" t="inlineStr">
        <is>
          <t>管理ポートが違う（同じタスク内の 2 台目は port-offset でずれている）／管理インターフェースが別アドレス</t>
        </is>
      </c>
      <c r="D5" s="10" t="inlineStr">
        <is>
          <t>MGMT_PORT=10090 jbpool のように指定。表示される controller= を確認</t>
        </is>
      </c>
      <c r="E5" s="11" t="n"/>
    </row>
    <row r="6" ht="55.5" customHeight="1">
      <c r="B6" s="12" t="inlineStr">
        <is>
          <t>Authentication failed などの認証エラー</t>
        </is>
      </c>
      <c r="C6" s="13" t="inlineStr">
        <is>
          <t>ローカル（サイレント）認証が使えない：別ユーザーで入った、設定で無効化されている</t>
        </is>
      </c>
      <c r="D6" s="13" t="inlineStr">
        <is>
          <t>root かサーバーと同じユーザーで実行。だめなら CLI_USER／CLI_PASS（ログに残る点に注意）</t>
        </is>
      </c>
      <c r="E6" s="14" t="n"/>
    </row>
    <row r="7" ht="72" customHeight="1">
      <c r="B7" s="9" t="inlineStr">
        <is>
          <t>STATUS が STATS-OFF・数字が 0</t>
        </is>
      </c>
      <c r="C7" s="10" t="inlineStr">
        <is>
          <t>statistics-enabled が false（既定）</t>
        </is>
      </c>
      <c r="D7" s="10" t="inlineStr">
        <is>
          <t>jbpool enable-stats（再起動で戻る）。恒久的には -Dwildfly.datasources.statistics-enabled=true で起動（式を使っているデータソースの場合）か、データソースの属性を true にして reload</t>
        </is>
      </c>
      <c r="E7" s="11" t="n"/>
    </row>
    <row r="8" ht="39" customHeight="1">
      <c r="B8" s="12" t="inlineStr">
        <is>
          <t>STOP: container memory headroom</t>
        </is>
      </c>
      <c r="C8" s="13" t="inlineStr">
        <is>
          <t>コンテナのメモリ上限に余裕がない（CLI 用 JVM は約 120〜150 MB）</t>
        </is>
      </c>
      <c r="D8" s="13" t="inlineStr">
        <is>
          <t>ほかの方法（別コンテナから CONTROLLER 指定・ログ確認）を検討。どうしても必要なら JBP_FORCE=1</t>
        </is>
      </c>
      <c r="E8" s="14" t="n"/>
    </row>
    <row r="9" ht="22.5" customHeight="1">
      <c r="B9" s="9" t="inlineStr">
        <is>
          <t>jboss-cli.sh not found</t>
        </is>
      </c>
      <c r="C9" s="10" t="inlineStr">
        <is>
          <t>インストール先が標準と違う</t>
        </is>
      </c>
      <c r="D9" s="10" t="inlineStr">
        <is>
          <t>JBOSS_HOME=/path/to/eap jbpool</t>
        </is>
      </c>
      <c r="E9" s="11" t="n"/>
    </row>
    <row r="10" ht="39" customHeight="1">
      <c r="B10" s="12" t="inlineStr">
        <is>
          <t>no writable temp directory</t>
        </is>
      </c>
      <c r="C10" s="13" t="inlineStr">
        <is>
          <t>読み取り専用ルート FS で /tmp なども書けない</t>
        </is>
      </c>
      <c r="D10" s="13" t="inlineStr">
        <is>
          <t>書き込めるボリュームを TMPDIR=/path で指定</t>
        </is>
      </c>
      <c r="E10" s="14" t="n"/>
    </row>
    <row r="11" ht="39" customHeight="1">
      <c r="B11" s="9" t="inlineStr">
        <is>
          <t>WARNING: 2 JBoss servers are visible</t>
        </is>
      </c>
      <c r="C11" s="10" t="inlineStr">
        <is>
          <t>pidMode=task などで他コンテナのプロセスも見えている</t>
        </is>
      </c>
      <c r="D11" s="10" t="inlineStr">
        <is>
          <t>表示される controller が目的のサーバーか確認。違えば MGMT_PORT を指定</t>
        </is>
      </c>
      <c r="E11" s="11" t="n"/>
    </row>
    <row r="12" ht="39" customHeight="1">
      <c r="B12" s="12" t="inlineStr">
        <is>
          <t>queue が n/a</t>
        </is>
      </c>
      <c r="C12" s="13" t="inlineStr">
        <is>
          <t>古い版で dump-queued-threads-in-pool が使えない</t>
        </is>
      </c>
      <c r="D12" s="13" t="inlineStr">
        <is>
          <t>WAIT／TMOUT の増分と IJ000655 ログで判断</t>
        </is>
      </c>
      <c r="E12" s="14" t="n"/>
    </row>
    <row r="13" ht="39" customHeight="1">
      <c r="B13" s="9" t="inlineStr">
        <is>
          <t>貼り付けが途中で切れる・文字化け</t>
        </is>
      </c>
      <c r="C13" s="10" t="inlineStr">
        <is>
          <t>端末やセッションの貼り付け上限</t>
        </is>
      </c>
      <c r="D13" s="10" t="inlineStr">
        <is>
          <t>PART 1/3・2/3・3/3 の区切りごとに貼る／Compose なら sh -s &lt; jbpool.sh／/tmp に保存して実行</t>
        </is>
      </c>
      <c r="E13" s="11" t="n"/>
    </row>
    <row r="14" ht="22.5" customHeight="1">
      <c r="B14" s="12" t="inlineStr">
        <is>
          <t>sh: $'\r': command not found</t>
        </is>
      </c>
      <c r="C14" s="13" t="inlineStr">
        <is>
          <t>ファイルが CRLF で保存された</t>
        </is>
      </c>
      <c r="D14" s="13" t="inlineStr">
        <is>
          <t>LF で保存し直す（エディタの改行コード設定）</t>
        </is>
      </c>
      <c r="E14" s="14" t="n"/>
    </row>
    <row r="15" ht="22.5" customHeight="1">
      <c r="B15" s="9" t="inlineStr">
        <is>
          <t>時刻が 9 時間ずれる</t>
        </is>
      </c>
      <c r="C15" s="10" t="inlineStr">
        <is>
          <t>コンテナが UTC</t>
        </is>
      </c>
      <c r="D15" s="10" t="inlineStr">
        <is>
          <t>TZ=JST-9 jbpool …（tzdata が無くても使える書き方）</t>
        </is>
      </c>
      <c r="E15" s="11" t="n"/>
    </row>
    <row r="16" ht="39" customHeight="1">
      <c r="B16" s="12" t="inlineStr">
        <is>
          <t>ActiveCount がマイナス・不自然</t>
        </is>
      </c>
      <c r="C16" s="13" t="inlineStr">
        <is>
          <t>統計の ON/OFF やフラッシュ直後の既知の数え方の問題（JBEAP-1745）</t>
        </is>
      </c>
      <c r="D16" s="13" t="inlineStr">
        <is>
          <t>jbpool は in-use＋idle で補正して表示し、advice に注記</t>
        </is>
      </c>
      <c r="E16" s="14" t="n"/>
    </row>
    <row r="17" ht="39" customHeight="1">
      <c r="B17" s="9" t="inlineStr">
        <is>
          <t>ドメインモード</t>
        </is>
      </c>
      <c r="C17" s="10" t="inlineStr">
        <is>
          <t>/host=…/server=… の階層になる</t>
        </is>
      </c>
      <c r="D17" s="10" t="inlineStr">
        <is>
          <t>このコマンドは standalone 専用（ECS／Compose ではほぼ standalone）</t>
        </is>
      </c>
      <c r="E17" s="11" t="n"/>
    </row>
    <row r="18" ht="39" customHeight="1">
      <c r="B18" s="12" t="inlineStr">
        <is>
          <t>EAP 6</t>
        </is>
      </c>
      <c r="C18" s="13" t="inlineStr">
        <is>
          <t>管理ポート 9999（remote://）で、操作や属性も一部ちがう</t>
        </is>
      </c>
      <c r="D18" s="13" t="inlineStr">
        <is>
          <t>CONTROLLER=remote://127.0.0.1:9999 で動く可能性はあるが対象外</t>
        </is>
      </c>
      <c r="E18" s="14" t="n"/>
    </row>
    <row r="19" ht="8" customHeight="1"/>
    <row r="20" ht="6" customHeight="1"/>
    <row r="21" ht="24" customHeight="1">
      <c r="B21" s="15" t="inlineStr">
        <is>
          <t>■ 安全のための設計</t>
        </is>
      </c>
      <c r="C21" s="16" t="n"/>
      <c r="D21" s="16" t="n"/>
      <c r="E21" s="16" t="n"/>
    </row>
    <row r="22" ht="4" customHeight="1"/>
    <row r="23" ht="37" customHeight="1">
      <c r="B23" s="17" t="inlineStr">
        <is>
          <t>・読み取り専用：enable-stats／disable-stats 以外は管理モデルを読むだけです（Red Hat も OpenShift 上の EAP では CLI での設定変更を推奨していません）。</t>
        </is>
      </c>
    </row>
    <row r="24" ht="20.5" customHeight="1">
      <c r="B24" s="17" t="inlineStr">
        <is>
          <t>・機密を読まない：データソースの属性は名前を指定して 1 つずつ読み、password・user-name・connection-url は読みません。</t>
        </is>
      </c>
    </row>
    <row r="25" ht="20.5" customHeight="1">
      <c r="B25" s="17" t="inlineStr">
        <is>
          <t>・小さな JVM：CLI 用の JVM には -Xmx128m などを明示し、JAVA_TOOL_OPTIONS（監視エージェントなど）を引き継ぎません。</t>
        </is>
      </c>
    </row>
    <row r="26" ht="37" customHeight="1">
      <c r="B26" s="17" t="inlineStr">
        <is>
          <t>・止まっても安全：exit を使わず return で終わるので、貼り付けたシェル（ECS Exec のセッション）が閉じません。timeout コマンドがあれば CLI が固まっても 90 秒で打ち切ります。</t>
        </is>
      </c>
    </row>
    <row r="27" ht="20.5" customHeight="1">
      <c r="B27" s="17" t="inlineStr">
        <is>
          <t>・貼り付け安全：ASCII のみ・タブなし・履歴展開文字（! の後ろに文字）なし・CR なし、を自動チェック済みです。</t>
        </is>
      </c>
    </row>
    <row r="28" ht="4" customHeight="1"/>
    <row r="29" ht="6" customHeight="1"/>
    <row r="30" ht="24" customHeight="1">
      <c r="B30" s="15" t="inlineStr">
        <is>
          <t>■ 統計を恒久的に ON にする方法（参考）</t>
        </is>
      </c>
      <c r="C30" s="16" t="n"/>
      <c r="D30" s="16" t="n"/>
      <c r="E30" s="16" t="n"/>
    </row>
    <row r="31" ht="4" customHeight="1"/>
    <row r="32" ht="18" customHeight="1">
      <c r="B32" s="20" t="inlineStr">
        <is>
          <t>▼ JBoss CLI（反映には reload が必要。コンテナでは再作成で消えるため、イメージ作成時に入れるのが確実）　（コピーは B 列のコード行だけを縦に選択）</t>
        </is>
      </c>
      <c r="C32" s="4" t="n"/>
      <c r="D32" s="4" t="n"/>
      <c r="E32" s="4" t="n"/>
    </row>
    <row r="33" ht="15.75" customHeight="1">
      <c r="B33" s="21" t="inlineStr">
        <is>
          <t>/subsystem=datasources/data-source=ExampleDS:write-attribute(name=statistics-enabled,value=true)</t>
        </is>
      </c>
      <c r="C33" s="22" t="n"/>
      <c r="D33" s="22" t="n"/>
      <c r="E33" s="23" t="n"/>
    </row>
    <row r="34" ht="15.75" customHeight="1">
      <c r="B34" s="27" t="inlineStr">
        <is>
          <t>:reload</t>
        </is>
      </c>
      <c r="C34" s="28" t="n"/>
      <c r="D34" s="28" t="n"/>
      <c r="E34" s="29" t="n"/>
    </row>
    <row r="35" ht="8" customHeight="1"/>
    <row r="36" ht="18" customHeight="1">
      <c r="B36" s="20" t="inlineStr">
        <is>
          <t>▼ 起動オプションで（データソースが ${wildfly.datasources.statistics-enabled:...} の式を使っている場合）　（コピーは B 列のコード行だけを縦に選択）</t>
        </is>
      </c>
      <c r="C36" s="4" t="n"/>
      <c r="D36" s="4" t="n"/>
      <c r="E36" s="4" t="n"/>
    </row>
    <row r="37" ht="15.75" customHeight="1">
      <c r="B37" s="21" t="inlineStr">
        <is>
          <t>-Dwildfly.datasources.statistics-enabled=true</t>
        </is>
      </c>
      <c r="C37" s="22" t="n"/>
      <c r="D37" s="22" t="n"/>
      <c r="E37" s="23" t="n"/>
    </row>
    <row r="38" ht="15.75" customHeight="1">
      <c r="B38" s="27" t="inlineStr">
        <is>
          <t># Red Hat の EAP コンテナイメージなら例えば：JAVA_OPTS_APPEND=-Dwildfly.datasources.statistics-enabled=true</t>
        </is>
      </c>
      <c r="C38" s="28" t="n"/>
      <c r="D38" s="28" t="n"/>
      <c r="E38" s="29" t="n"/>
    </row>
    <row r="39" ht="8" customHeight="1"/>
    <row r="40" ht="43" customHeight="1">
      <c r="B40" s="18" t="inlineStr">
        <is>
          <t>※ 統計の収集にはわずかな負荷があります。常時 ON にするかはチームで決めてください。障害調査のときだけ enable-stats で一時的に ON にする運用もできます。</t>
        </is>
      </c>
      <c r="C40" s="19" t="n"/>
      <c r="D40" s="19" t="n"/>
      <c r="E40" s="19" t="n"/>
    </row>
    <row r="41" ht="8" customHeight="1"/>
  </sheetData>
  <mergeCells count="27">
    <mergeCell ref="B40:E40"/>
    <mergeCell ref="D10:E10"/>
    <mergeCell ref="B30:E30"/>
    <mergeCell ref="B24:E24"/>
    <mergeCell ref="B36:E36"/>
    <mergeCell ref="B32:E32"/>
    <mergeCell ref="D6:E6"/>
    <mergeCell ref="B26:E26"/>
    <mergeCell ref="D11:E11"/>
    <mergeCell ref="D13:E13"/>
    <mergeCell ref="B25:E25"/>
    <mergeCell ref="D17:E17"/>
    <mergeCell ref="D16:E16"/>
    <mergeCell ref="B27:E27"/>
    <mergeCell ref="D7:E7"/>
    <mergeCell ref="B21:E21"/>
    <mergeCell ref="D4:E4"/>
    <mergeCell ref="B2:E2"/>
    <mergeCell ref="D18:E18"/>
    <mergeCell ref="D9:E9"/>
    <mergeCell ref="D12:E12"/>
    <mergeCell ref="D8:E8"/>
    <mergeCell ref="B23:E23"/>
    <mergeCell ref="B1:E1"/>
    <mergeCell ref="D15:E15"/>
    <mergeCell ref="D5:E5"/>
    <mergeCell ref="D14:E14"/>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11.xml><?xml version="1.0" encoding="utf-8"?>
<worksheet xmlns="http://schemas.openxmlformats.org/spreadsheetml/2006/main">
  <sheetPr>
    <tabColor rgb="00595959"/>
    <outlinePr summaryBelow="1" summaryRight="1"/>
    <pageSetUpPr fitToPage="1"/>
  </sheetPr>
  <dimension ref="B1:E29"/>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30" customWidth="1" min="2" max="2"/>
    <col width="56" customWidth="1" min="3" max="3"/>
    <col width="44" customWidth="1" min="4" max="4"/>
    <col width="10" customWidth="1" min="5" max="5"/>
  </cols>
  <sheetData>
    <row r="1" ht="34" customHeight="1">
      <c r="B1" s="1" t="inlineStr">
        <is>
          <t>用語集</t>
        </is>
      </c>
      <c r="C1" s="2" t="n"/>
      <c r="D1" s="2" t="n"/>
      <c r="E1" s="2" t="n"/>
    </row>
    <row r="2" ht="18" customHeight="1">
      <c r="B2" s="3" t="inlineStr">
        <is>
          <t>JBoss EAP コネクションプール確認コマンド「jbpool」解説書　｜　2026-10-17</t>
        </is>
      </c>
      <c r="C2" s="4" t="n"/>
      <c r="D2" s="4" t="n"/>
      <c r="E2" s="4" t="n"/>
    </row>
    <row r="3" ht="10" customHeight="1"/>
    <row r="4" ht="22.5" customHeight="1">
      <c r="B4" s="7" t="inlineStr">
        <is>
          <t>用語</t>
        </is>
      </c>
      <c r="C4" s="7" t="inlineStr">
        <is>
          <t>意味</t>
        </is>
      </c>
      <c r="D4" s="7" t="inlineStr">
        <is>
          <t>こども向け</t>
        </is>
      </c>
      <c r="E4" s="8" t="n"/>
    </row>
    <row r="5" ht="39" customHeight="1">
      <c r="B5" s="9" t="inlineStr">
        <is>
          <t>JBoss EAP</t>
        </is>
      </c>
      <c r="C5" s="10" t="inlineStr">
        <is>
          <t>Red Hat がサポートする Java（Jakarta EE）のアプリケーションサーバー。上流は WildFly</t>
        </is>
      </c>
      <c r="D5" s="10" t="inlineStr">
        <is>
          <t>アプリを動かすお店の建物</t>
        </is>
      </c>
      <c r="E5" s="11" t="n"/>
    </row>
    <row r="6" ht="22.5" customHeight="1">
      <c r="B6" s="12" t="inlineStr">
        <is>
          <t>WildFly</t>
        </is>
      </c>
      <c r="C6" s="13" t="inlineStr">
        <is>
          <t>JBoss EAP のもとになっているコミュニティ版</t>
        </is>
      </c>
      <c r="D6" s="13" t="inlineStr">
        <is>
          <t>お店の試作品</t>
        </is>
      </c>
      <c r="E6" s="14" t="n"/>
    </row>
    <row r="7" ht="39" customHeight="1">
      <c r="B7" s="9" t="inlineStr">
        <is>
          <t>データソース（DataSource）</t>
        </is>
      </c>
      <c r="C7" s="10" t="inlineStr">
        <is>
          <t>アプリがデータベースの接続を借りる窓口。プールを持つ</t>
        </is>
      </c>
      <c r="D7" s="10" t="inlineStr">
        <is>
          <t>傘の貸し出し窓口</t>
        </is>
      </c>
      <c r="E7" s="11" t="n"/>
    </row>
    <row r="8" ht="39" customHeight="1">
      <c r="B8" s="12" t="inlineStr">
        <is>
          <t>XA データソース</t>
        </is>
      </c>
      <c r="C8" s="13" t="inlineStr">
        <is>
          <t>複数の資源にまたがるトランザクション用のデータソース</t>
        </is>
      </c>
      <c r="D8" s="13" t="inlineStr">
        <is>
          <t>2 つのお店で同時に約束するための窓口</t>
        </is>
      </c>
      <c r="E8" s="14" t="n"/>
    </row>
    <row r="9" ht="39" customHeight="1">
      <c r="B9" s="9" t="inlineStr">
        <is>
          <t>IronJacamar（IJ）</t>
        </is>
      </c>
      <c r="C9" s="10" t="inlineStr">
        <is>
          <t>JBoss のプールの本体（JCA 実装）。メッセージ ID の IJ の由来</t>
        </is>
      </c>
      <c r="D9" s="10" t="inlineStr">
        <is>
          <t>傘立てを作った会社</t>
        </is>
      </c>
      <c r="E9" s="11" t="n"/>
    </row>
    <row r="10" ht="39" customHeight="1">
      <c r="B10" s="12" t="inlineStr">
        <is>
          <t>JCA</t>
        </is>
      </c>
      <c r="C10" s="13" t="inlineStr">
        <is>
          <t>Java のコネクタ標準。プール・トランザクション・セキュリティを扱う</t>
        </is>
      </c>
      <c r="D10" s="13" t="inlineStr">
        <is>
          <t>傘立ての共通ルール</t>
        </is>
      </c>
      <c r="E10" s="14" t="n"/>
    </row>
    <row r="11" ht="39" customHeight="1">
      <c r="B11" s="9" t="inlineStr">
        <is>
          <t>管理モデル</t>
        </is>
      </c>
      <c r="C11" s="10" t="inlineStr">
        <is>
          <t>JBoss の設定と状態の木構造。/subsystem=datasources/… のように住所で指す</t>
        </is>
      </c>
      <c r="D11" s="10" t="inlineStr">
        <is>
          <t>お店の案内図</t>
        </is>
      </c>
      <c r="E11" s="11" t="n"/>
    </row>
    <row r="12" ht="22.5" customHeight="1">
      <c r="B12" s="12" t="inlineStr">
        <is>
          <t>JBoss CLI</t>
        </is>
      </c>
      <c r="C12" s="13" t="inlineStr">
        <is>
          <t>管理モデルを読み書きするコマンド（jboss-cli.sh）</t>
        </is>
      </c>
      <c r="D12" s="13" t="inlineStr">
        <is>
          <t>管理人さんのトランシーバー</t>
        </is>
      </c>
      <c r="E12" s="14" t="n"/>
    </row>
    <row r="13" ht="39" customHeight="1">
      <c r="B13" s="9" t="inlineStr">
        <is>
          <t>ローカル（サイレント）認証</t>
        </is>
      </c>
      <c r="C13" s="10" t="inlineStr">
        <is>
          <t>同じマシン（コンテナ）内からなら、パスワードなしで CLI が接続できるしくみ</t>
        </is>
      </c>
      <c r="D13" s="10" t="inlineStr">
        <is>
          <t>合言葉なしで入れる職員通用口</t>
        </is>
      </c>
      <c r="E13" s="11" t="n"/>
    </row>
    <row r="14" ht="39" customHeight="1">
      <c r="B14" s="12" t="inlineStr">
        <is>
          <t>port-offset</t>
        </is>
      </c>
      <c r="C14" s="13" t="inlineStr">
        <is>
          <t>すべてのポート番号をまとめてずらす設定（9990→10090 など）</t>
        </is>
      </c>
      <c r="D14" s="13" t="inlineStr">
        <is>
          <t>部屋番号を全部 100 ずらす</t>
        </is>
      </c>
      <c r="E14" s="14" t="n"/>
    </row>
    <row r="15" ht="39" customHeight="1">
      <c r="B15" s="9" t="inlineStr">
        <is>
          <t>awsvpc</t>
        </is>
      </c>
      <c r="C15" s="10" t="inlineStr">
        <is>
          <t>ECS のネットワークモード。同じタスクのコンテナは localhost を共有する</t>
        </is>
      </c>
      <c r="D15" s="10" t="inlineStr">
        <is>
          <t>同じ建物で電話番号を共有</t>
        </is>
      </c>
      <c r="E15" s="11" t="n"/>
    </row>
    <row r="16" ht="39" customHeight="1">
      <c r="B16" s="12" t="inlineStr">
        <is>
          <t>ECS Exec</t>
        </is>
      </c>
      <c r="C16" s="13" t="inlineStr">
        <is>
          <t>ECS のコンテナの中でコマンドを実行する機能（SSM Session Manager を利用）</t>
        </is>
      </c>
      <c r="D16" s="13" t="inlineStr">
        <is>
          <t>遠くのお店の合鍵</t>
        </is>
      </c>
      <c r="E16" s="14" t="n"/>
    </row>
    <row r="17" ht="22.5" customHeight="1">
      <c r="B17" s="9" t="inlineStr">
        <is>
          <t>Docker Compose</t>
        </is>
      </c>
      <c r="C17" s="10" t="inlineStr">
        <is>
          <t>複数のコンテナを YAML で定義してまとめて動かす道具</t>
        </is>
      </c>
      <c r="D17" s="10" t="inlineStr">
        <is>
          <t>お店の模型セット</t>
        </is>
      </c>
      <c r="E17" s="11" t="n"/>
    </row>
    <row r="18" ht="39" customHeight="1">
      <c r="B18" s="12" t="inlineStr">
        <is>
          <t>statistics（統計）</t>
        </is>
      </c>
      <c r="C18" s="13" t="inlineStr">
        <is>
          <t>プールの数値（使用中・待ち・タイムアウトなど）の記録</t>
        </is>
      </c>
      <c r="D18" s="13" t="inlineStr">
        <is>
          <t>貸し出しノート</t>
        </is>
      </c>
      <c r="E18" s="14" t="n"/>
    </row>
    <row r="19" ht="39" customHeight="1">
      <c r="B19" s="9" t="inlineStr">
        <is>
          <t>blocking-timeout-wait-millis</t>
        </is>
      </c>
      <c r="C19" s="10" t="inlineStr">
        <is>
          <t>空きを待てる最大時間（ms）。既定 30000</t>
        </is>
      </c>
      <c r="D19" s="10" t="inlineStr">
        <is>
          <t>並んで待てる時間</t>
        </is>
      </c>
      <c r="E19" s="11" t="n"/>
    </row>
    <row r="20" ht="22.5" customHeight="1">
      <c r="B20" s="12" t="inlineStr">
        <is>
          <t>idle-timeout-minutes</t>
        </is>
      </c>
      <c r="C20" s="13" t="inlineStr">
        <is>
          <t>使われていない接続を閉じるまでの時間（分）。既定 30</t>
        </is>
      </c>
      <c r="D20" s="13" t="inlineStr">
        <is>
          <t>傘を片付けるまでの時間</t>
        </is>
      </c>
      <c r="E20" s="14" t="n"/>
    </row>
    <row r="21" ht="22.5" customHeight="1">
      <c r="B21" s="9" t="inlineStr">
        <is>
          <t>IdleRemover</t>
        </is>
      </c>
      <c r="C21" s="10" t="inlineStr">
        <is>
          <t>アイドル接続を片付けるバックグラウンド処理</t>
        </is>
      </c>
      <c r="D21" s="10" t="inlineStr">
        <is>
          <t>見回りの用務員さん</t>
        </is>
      </c>
      <c r="E21" s="11" t="n"/>
    </row>
    <row r="22" ht="39" customHeight="1">
      <c r="B22" s="12" t="inlineStr">
        <is>
          <t>TimedOutDecrementer</t>
        </is>
      </c>
      <c r="C22" s="13" t="inlineStr">
        <is>
          <t>既定の片付けルール。タイムアウトした接続を閉じ、1 プールは 1 分に 1 回まで</t>
        </is>
      </c>
      <c r="D22" s="13" t="inlineStr">
        <is>
          <t>見回りのルール</t>
        </is>
      </c>
      <c r="E22" s="14" t="n"/>
    </row>
    <row r="23" ht="22.5" customHeight="1">
      <c r="B23" s="9" t="inlineStr">
        <is>
          <t>LIFO</t>
        </is>
      </c>
      <c r="C23" s="10" t="inlineStr">
        <is>
          <t>Last In, First Out。最後に返したものから先に使う</t>
        </is>
      </c>
      <c r="D23" s="10" t="inlineStr">
        <is>
          <t>さっき返された傘から貸す</t>
        </is>
      </c>
      <c r="E23" s="11" t="n"/>
    </row>
    <row r="24" ht="22.5" customHeight="1">
      <c r="B24" s="12" t="inlineStr">
        <is>
          <t>pool-prefill</t>
        </is>
      </c>
      <c r="C24" s="13" t="inlineStr">
        <is>
          <t>起動時などに min-pool-size まで先に作っておく</t>
        </is>
      </c>
      <c r="D24" s="13" t="inlineStr">
        <is>
          <t>朝のうちに傘を並べておく</t>
        </is>
      </c>
      <c r="E24" s="14" t="n"/>
    </row>
    <row r="25" ht="22.5" customHeight="1">
      <c r="B25" s="9" t="inlineStr">
        <is>
          <t>pool-use-strict-min</t>
        </is>
      </c>
      <c r="C25" s="10" t="inlineStr">
        <is>
          <t>min-pool-size を下回らないように厳しく守る</t>
        </is>
      </c>
      <c r="D25" s="10" t="inlineStr">
        <is>
          <t>最低本数は絶対に片付けない</t>
        </is>
      </c>
      <c r="E25" s="11" t="n"/>
    </row>
    <row r="26" ht="22.5" customHeight="1">
      <c r="B26" s="12" t="inlineStr">
        <is>
          <t>pool-fair</t>
        </is>
      </c>
      <c r="C26" s="13" t="inlineStr">
        <is>
          <t>待っている順番どおりに空きを渡す（既定 true）</t>
        </is>
      </c>
      <c r="D26" s="13" t="inlineStr">
        <is>
          <t>並んだ順に渡す</t>
        </is>
      </c>
      <c r="E26" s="14" t="n"/>
    </row>
    <row r="27" ht="22.5" customHeight="1">
      <c r="B27" s="9" t="inlineStr">
        <is>
          <t>コネクションリーク</t>
        </is>
      </c>
      <c r="C27" s="10" t="inlineStr">
        <is>
          <t>アプリが接続を返し忘れること</t>
        </is>
      </c>
      <c r="D27" s="10" t="inlineStr">
        <is>
          <t>傘の返し忘れ</t>
        </is>
      </c>
      <c r="E27" s="11" t="n"/>
    </row>
    <row r="28" ht="22.5" customHeight="1">
      <c r="B28" s="12" t="inlineStr">
        <is>
          <t>スレッドダンプ</t>
        </is>
      </c>
      <c r="C28" s="13" t="inlineStr">
        <is>
          <t>JVM の全スレッドがいま何をしているかの一覧</t>
        </is>
      </c>
      <c r="D28" s="13" t="inlineStr">
        <is>
          <t>全員の「いま何してる？」アンケート</t>
        </is>
      </c>
      <c r="E28" s="14" t="n"/>
    </row>
    <row r="29" ht="22.5" customHeight="1">
      <c r="B29" s="9" t="inlineStr">
        <is>
          <t>cgroup</t>
        </is>
      </c>
      <c r="C29" s="10" t="inlineStr">
        <is>
          <t>Linux がコンテナのメモリなどを制限するしくみ</t>
        </is>
      </c>
      <c r="D29" s="10" t="inlineStr">
        <is>
          <t>お店の広さの上限</t>
        </is>
      </c>
      <c r="E29" s="11" t="n"/>
    </row>
    <row r="30" ht="8" customHeight="1"/>
  </sheetData>
  <mergeCells count="28">
    <mergeCell ref="D20:E20"/>
    <mergeCell ref="D10:E10"/>
    <mergeCell ref="D19:E19"/>
    <mergeCell ref="D22:E22"/>
    <mergeCell ref="D21:E21"/>
    <mergeCell ref="D6:E6"/>
    <mergeCell ref="D11:E11"/>
    <mergeCell ref="D13:E13"/>
    <mergeCell ref="D27:E27"/>
    <mergeCell ref="D17:E17"/>
    <mergeCell ref="D16:E16"/>
    <mergeCell ref="D7:E7"/>
    <mergeCell ref="D28:E28"/>
    <mergeCell ref="D4:E4"/>
    <mergeCell ref="B2:E2"/>
    <mergeCell ref="D18:E18"/>
    <mergeCell ref="D9:E9"/>
    <mergeCell ref="D12:E12"/>
    <mergeCell ref="D8:E8"/>
    <mergeCell ref="D25:E25"/>
    <mergeCell ref="B1:E1"/>
    <mergeCell ref="D24:E24"/>
    <mergeCell ref="D15:E15"/>
    <mergeCell ref="D29:E29"/>
    <mergeCell ref="D5:E5"/>
    <mergeCell ref="D23:E23"/>
    <mergeCell ref="D14:E14"/>
    <mergeCell ref="D26:E26"/>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12.xml><?xml version="1.0" encoding="utf-8"?>
<worksheet xmlns="http://schemas.openxmlformats.org/spreadsheetml/2006/main">
  <sheetPr>
    <tabColor rgb="007F7F7F"/>
    <outlinePr summaryBelow="1" summaryRight="1"/>
    <pageSetUpPr fitToPage="1"/>
  </sheetPr>
  <dimension ref="B1:E23"/>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44" customWidth="1" min="2" max="2"/>
    <col width="70" customWidth="1" min="3" max="3"/>
    <col width="30" customWidth="1" min="4" max="4"/>
    <col width="10" customWidth="1" min="5" max="5"/>
  </cols>
  <sheetData>
    <row r="1" ht="34" customHeight="1">
      <c r="B1" s="1" t="inlineStr">
        <is>
          <t>参考資料（出典）</t>
        </is>
      </c>
      <c r="C1" s="2" t="n"/>
      <c r="D1" s="2" t="n"/>
      <c r="E1" s="2" t="n"/>
    </row>
    <row r="2" ht="18" customHeight="1">
      <c r="B2" s="3" t="inlineStr">
        <is>
          <t>JBoss EAP コネクションプール確認コマンド「jbpool」解説書　｜　2026-10-17</t>
        </is>
      </c>
      <c r="C2" s="4" t="n"/>
      <c r="D2" s="4" t="n"/>
      <c r="E2" s="4" t="n"/>
    </row>
    <row r="3" ht="10" customHeight="1"/>
    <row r="4" ht="22.5" customHeight="1">
      <c r="B4" s="7" t="inlineStr">
        <is>
          <t>資料</t>
        </is>
      </c>
      <c r="C4" s="7" t="inlineStr">
        <is>
          <t>URL</t>
        </is>
      </c>
      <c r="D4" s="7" t="inlineStr">
        <is>
          <t>使ったところ</t>
        </is>
      </c>
      <c r="E4" s="8" t="n"/>
    </row>
    <row r="5" ht="55.5" customHeight="1">
      <c r="B5" s="9" t="inlineStr">
        <is>
          <t>Red Hat: EAP 7.3 Performance Tuning Guide - Datasource and Resource Adapter Tuning</t>
        </is>
      </c>
      <c r="C5" s="10" t="inlineStr">
        <is>
          <t>https://docs.redhat.com/documentation/en-us/red_hat_jboss_enterprise_application_platform/7.3/html/performance_tuning_guide/datasource_and_resource_adapter_tuning</t>
        </is>
      </c>
      <c r="D5" s="10" t="inlineStr">
        <is>
          <t>統計の有効化（reload 要）、max-pool-size は MaxUsedCount の 15% 増し以上</t>
        </is>
      </c>
      <c r="E5" s="11" t="n"/>
    </row>
    <row r="6" ht="55.5" customHeight="1">
      <c r="B6" s="12" t="inlineStr">
        <is>
          <t>Red Hat: EAP 7.1 Performance Tuning Guide - Reference Material（Datasource Statistics）</t>
        </is>
      </c>
      <c r="C6" s="13" t="inlineStr">
        <is>
          <t>https://docs.redhat.com/documentation/en-us/red_hat_jboss_enterprise_application_platform/7.1/html/performance_tuning_guide/reference_material</t>
        </is>
      </c>
      <c r="D6" s="13" t="inlineStr">
        <is>
          <t>各統計項目（ActiveCount など）の定義</t>
        </is>
      </c>
      <c r="E6" s="14" t="n"/>
    </row>
    <row r="7" ht="39" customHeight="1">
      <c r="B7" s="9" t="inlineStr">
        <is>
          <t>WildFly Model Reference: data-source</t>
        </is>
      </c>
      <c r="C7" s="10" t="inlineStr">
        <is>
          <t>https://docs.wildfly.org/28/wildscribe/deployment/subsystem/datasources/data-source/index.html</t>
        </is>
      </c>
      <c r="D7" s="10" t="inlineStr">
        <is>
          <t>dump-queued-threads-in-pool などの操作、idle-timeout の説明</t>
        </is>
      </c>
      <c r="E7" s="11" t="n"/>
    </row>
    <row r="8" ht="55.5" customHeight="1">
      <c r="B8" s="12" t="inlineStr">
        <is>
          <t>IronJacamar ソースコード（GitHub）</t>
        </is>
      </c>
      <c r="C8" s="13" t="inlineStr">
        <is>
          <t>https://github.com/ironjacamar/ironjacamar</t>
        </is>
      </c>
      <c r="D8" s="13" t="inlineStr">
        <is>
          <t>LIFO（pollLast／addLast）、removeIdleConnections、1 分制限、prefill 条件、IdleRemover の間隔</t>
        </is>
      </c>
      <c r="E8" s="14" t="n"/>
    </row>
    <row r="9" ht="39" customHeight="1">
      <c r="B9" s="9" t="inlineStr">
        <is>
          <t>WFLY-3084（statistics-enabled を設定属性に）</t>
        </is>
      </c>
      <c r="C9" s="10" t="inlineStr">
        <is>
          <t>https://lists.jboss.org/pipermail/jboss-jira/2014-July/261114.html</t>
        </is>
      </c>
      <c r="D9" s="10" t="inlineStr">
        <is>
          <t>statistics-enabled の歴史</t>
        </is>
      </c>
      <c r="E9" s="11" t="n"/>
    </row>
    <row r="10" ht="39" customHeight="1">
      <c r="B10" s="12" t="inlineStr">
        <is>
          <t>JBEAP-1745（ActiveCount がマイナスになる件）</t>
        </is>
      </c>
      <c r="C10" s="13" t="inlineStr">
        <is>
          <t>https://issues.redhat.com/browse/JBEAP-1745</t>
        </is>
      </c>
      <c r="D10" s="13" t="inlineStr">
        <is>
          <t>数値の補正表示</t>
        </is>
      </c>
      <c r="E10" s="14" t="n"/>
    </row>
    <row r="11" ht="39" customHeight="1">
      <c r="B11" s="9" t="inlineStr">
        <is>
          <t>Red Hat Developer: JBoss EAP 8.1（2025/9/2）</t>
        </is>
      </c>
      <c r="C11" s="10" t="inlineStr">
        <is>
          <t>https://developers.redhat.com/blog/2025/09/02/jboss-eap-81-modernizing-enterprise-java-applications</t>
        </is>
      </c>
      <c r="D11" s="10" t="inlineStr">
        <is>
          <t>EAP 8.1 の提供開始</t>
        </is>
      </c>
      <c r="E11" s="11" t="n"/>
    </row>
    <row r="12" ht="39" customHeight="1">
      <c r="B12" s="12" t="inlineStr">
        <is>
          <t>Red Hat: EAP 8 Supported Configurations</t>
        </is>
      </c>
      <c r="C12" s="13" t="inlineStr">
        <is>
          <t>https://access.redhat.com/articles/6961381</t>
        </is>
      </c>
      <c r="D12" s="13" t="inlineStr">
        <is>
          <t>EAP 8.0 Update 12 が最終・8.1 への移行</t>
        </is>
      </c>
      <c r="E12" s="14" t="n"/>
    </row>
    <row r="13" ht="22.5" customHeight="1">
      <c r="B13" s="9" t="inlineStr">
        <is>
          <t>Red Hat: JBoss EAP 7 ELS Availability</t>
        </is>
      </c>
      <c r="C13" s="10" t="inlineStr">
        <is>
          <t>https://access.redhat.com/articles/7116565</t>
        </is>
      </c>
      <c r="D13" s="10" t="inlineStr">
        <is>
          <t>EAP 7.4 の延長サポート</t>
        </is>
      </c>
      <c r="E13" s="11" t="n"/>
    </row>
    <row r="14" ht="22.5" customHeight="1">
      <c r="B14" s="12" t="inlineStr">
        <is>
          <t>endoflife.date: Red Hat JBoss EAP</t>
        </is>
      </c>
      <c r="C14" s="13" t="inlineStr">
        <is>
          <t>https://endoflife.date/redhat-jboss-eap</t>
        </is>
      </c>
      <c r="D14" s="13" t="inlineStr">
        <is>
          <t>各版のサポート期限（第三者まとめ）</t>
        </is>
      </c>
      <c r="E14" s="14" t="n"/>
    </row>
    <row r="15" ht="39" customHeight="1">
      <c r="B15" s="9" t="inlineStr">
        <is>
          <t>Red Hat Developer: How JBoss EAP 8 Beta makes deployment on OpenShift easier</t>
        </is>
      </c>
      <c r="C15" s="10" t="inlineStr">
        <is>
          <t>https://developers.redhat.com/articles/2023/02/08/how-jboss-eap-8-beta-makes-deployment-openshift-easier</t>
        </is>
      </c>
      <c r="D15" s="10" t="inlineStr">
        <is>
          <t>EAP 8 イメージの JBOSS_HOME＝/opt/server</t>
        </is>
      </c>
      <c r="E15" s="11" t="n"/>
    </row>
    <row r="16" ht="55.5" customHeight="1">
      <c r="B16" s="12" t="inlineStr">
        <is>
          <t>AWS What's New: ECS Exec is now available in the AWS Management Console（2025/9/4）</t>
        </is>
      </c>
      <c r="C16" s="13" t="inlineStr">
        <is>
          <t>https://aws.amazon.com/about-aws/whats-new/2025/09/ecs-exec-aws-management-console/</t>
        </is>
      </c>
      <c r="D16" s="13" t="inlineStr">
        <is>
          <t>コンソールからの ECS Exec</t>
        </is>
      </c>
      <c r="E16" s="14" t="n"/>
    </row>
    <row r="17" ht="39" customHeight="1">
      <c r="B17" s="9" t="inlineStr">
        <is>
          <t>AWS: Monitor Amazon ECS containers with ECS Exec</t>
        </is>
      </c>
      <c r="C17" s="10" t="inlineStr">
        <is>
          <t>https://docs.aws.amazon.com/AmazonECS/latest/developerguide/ecs-exec.html</t>
        </is>
      </c>
      <c r="D17" s="10" t="inlineStr">
        <is>
          <t>ECS Exec の前提・権限</t>
        </is>
      </c>
      <c r="E17" s="11" t="n"/>
    </row>
    <row r="18" ht="39" customHeight="1">
      <c r="B18" s="12" t="inlineStr">
        <is>
          <t>AWS: Task metadata endpoint version 4</t>
        </is>
      </c>
      <c r="C18" s="13" t="inlineStr">
        <is>
          <t>https://docs.aws.amazon.com/AmazonECS/latest/developerguide/task-metadata-endpoint-v4.html</t>
        </is>
      </c>
      <c r="D18" s="13" t="inlineStr">
        <is>
          <t>コンテナ名の自動取得</t>
        </is>
      </c>
      <c r="E18" s="14" t="n"/>
    </row>
    <row r="19" ht="22.5" customHeight="1">
      <c r="B19" s="9" t="inlineStr">
        <is>
          <t>aws-containers/amazon-ecs-exec-checker</t>
        </is>
      </c>
      <c r="C19" s="10" t="inlineStr">
        <is>
          <t>https://github.com/aws-containers/amazon-ecs-exec-checker</t>
        </is>
      </c>
      <c r="D19" s="10" t="inlineStr">
        <is>
          <t>ECS Exec の診断</t>
        </is>
      </c>
      <c r="E19" s="11" t="n"/>
    </row>
    <row r="20" ht="22.5" customHeight="1">
      <c r="B20" s="12" t="inlineStr">
        <is>
          <t>Docker Docs: docker compose exec</t>
        </is>
      </c>
      <c r="C20" s="13" t="inlineStr">
        <is>
          <t>https://docs.docker.com/reference/cli/docker/compose/exec/</t>
        </is>
      </c>
      <c r="D20" s="13" t="inlineStr">
        <is>
          <t>-T・-e オプション</t>
        </is>
      </c>
      <c r="E20" s="14" t="n"/>
    </row>
    <row r="21" ht="22.5" customHeight="1">
      <c r="B21" s="9" t="inlineStr">
        <is>
          <t>Docker Docs: Migrate to Compose V2</t>
        </is>
      </c>
      <c r="C21" s="10" t="inlineStr">
        <is>
          <t>https://docs.docker.com/compose/releases/migrate/</t>
        </is>
      </c>
      <c r="D21" s="10" t="inlineStr">
        <is>
          <t>Compose V1 のサポート終了</t>
        </is>
      </c>
      <c r="E21" s="11" t="n"/>
    </row>
    <row r="22" ht="8" customHeight="1"/>
    <row r="23" ht="43" customHeight="1">
      <c r="B23" s="18" t="inlineStr">
        <is>
          <t>※ 年表の一部（JDBC・J2EE・JBoss・ECS・Fargate などの古い年）は、一般に知られている公開情報をもとに記載しています。正確な日付が必要な場合は各公式発表を確認してください。</t>
        </is>
      </c>
      <c r="C23" s="19" t="n"/>
      <c r="D23" s="19" t="n"/>
      <c r="E23" s="19" t="n"/>
    </row>
    <row r="24" ht="8" customHeight="1"/>
  </sheetData>
  <mergeCells count="21">
    <mergeCell ref="D20:E20"/>
    <mergeCell ref="D10:E10"/>
    <mergeCell ref="D19:E19"/>
    <mergeCell ref="D21:E21"/>
    <mergeCell ref="D6:E6"/>
    <mergeCell ref="D11:E11"/>
    <mergeCell ref="D13:E13"/>
    <mergeCell ref="D17:E17"/>
    <mergeCell ref="D16:E16"/>
    <mergeCell ref="D7:E7"/>
    <mergeCell ref="D4:E4"/>
    <mergeCell ref="B2:E2"/>
    <mergeCell ref="D18:E18"/>
    <mergeCell ref="D9:E9"/>
    <mergeCell ref="D12:E12"/>
    <mergeCell ref="D8:E8"/>
    <mergeCell ref="B23:E23"/>
    <mergeCell ref="B1:E1"/>
    <mergeCell ref="D15:E15"/>
    <mergeCell ref="D5:E5"/>
    <mergeCell ref="D14:E14"/>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xl/worksheets/sheet13.xml><?xml version="1.0" encoding="utf-8"?>
<worksheet xmlns="http://schemas.openxmlformats.org/spreadsheetml/2006/main">
  <sheetPr>
    <tabColor rgb="00262626"/>
    <outlinePr summaryBelow="1" summaryRight="1"/>
    <pageSetUpPr fitToPage="1"/>
  </sheetPr>
  <dimension ref="B1:C535"/>
  <sheetViews>
    <sheetView showGridLines="0" zoomScale="100" workbookViewId="0">
      <pane ySplit="3" topLeftCell="A4" activePane="bottomLeft" state="frozen"/>
      <selection pane="bottomLeft" activeCell="A1" sqref="A1"/>
    </sheetView>
  </sheetViews>
  <sheetFormatPr baseColWidth="8" defaultRowHeight="15"/>
  <cols>
    <col width="2.5" customWidth="1" min="1" max="1"/>
    <col width="7" customWidth="1" min="2" max="2"/>
    <col width="150" customWidth="1" min="3" max="3"/>
  </cols>
  <sheetData>
    <row r="1" ht="34" customHeight="1">
      <c r="B1" s="1" t="inlineStr">
        <is>
          <t>jbpool.sh 全文</t>
        </is>
      </c>
      <c r="C1" s="2" t="n"/>
    </row>
    <row r="2" ht="18" customHeight="1">
      <c r="B2" s="3" t="inlineStr">
        <is>
          <t>JBoss EAP コネクションプール確認コマンド「jbpool」解説書　｜　2026-10-17</t>
        </is>
      </c>
      <c r="C2" s="4" t="n"/>
    </row>
    <row r="3" ht="10" customHeight="1"/>
    <row r="4" ht="46.65" customHeight="1">
      <c r="B4" s="5" t="inlineStr">
        <is>
          <t>C 列だけを縦に選んでコピーすると、そのまま貼り付けられます（B 列の行番号は含めないでください）。いちばん確実なのは jbpool.sh ファイルを使うことです。</t>
        </is>
      </c>
      <c r="C4" s="6" t="n"/>
    </row>
    <row r="5" ht="8" customHeight="1"/>
    <row r="6" ht="20" customHeight="1">
      <c r="B6" s="30" t="inlineStr">
        <is>
          <t>行</t>
        </is>
      </c>
      <c r="C6" s="30" t="inlineStr">
        <is>
          <t>jbpool.sh</t>
        </is>
      </c>
    </row>
    <row r="7" ht="15.75" customHeight="1">
      <c r="B7" s="41" t="n">
        <v>1</v>
      </c>
      <c r="C7" s="42" t="inlineStr">
        <is>
          <t># =============================================================================</t>
        </is>
      </c>
    </row>
    <row r="8" ht="15.75" customHeight="1">
      <c r="B8" s="41" t="n">
        <v>2</v>
      </c>
      <c r="C8" s="42" t="inlineStr">
        <is>
          <t># jbpool.sh : JBoss EAP / WildFly datasource connection-pool inspector</t>
        </is>
      </c>
    </row>
    <row r="9" ht="15.75" customHeight="1">
      <c r="B9" s="41" t="n">
        <v>3</v>
      </c>
      <c r="C9" s="42" t="inlineStr">
        <is>
          <t>#   Paste ALL of this text into the shell of the container</t>
        </is>
      </c>
    </row>
    <row r="10" ht="15.75" customHeight="1">
      <c r="B10" s="41" t="n">
        <v>4</v>
      </c>
      <c r="C10" s="42" t="inlineStr">
        <is>
          <t>#   (ECS Exec / docker compose exec). A snapshot runs right after the paste.</t>
        </is>
      </c>
    </row>
    <row r="11" ht="15.75" customHeight="1">
      <c r="B11" s="41" t="n">
        <v>5</v>
      </c>
      <c r="C11" s="42" t="inlineStr">
        <is>
          <t>#   After that you can type:</t>
        </is>
      </c>
    </row>
    <row r="12" ht="15.75" customHeight="1">
      <c r="B12" s="41" t="n">
        <v>6</v>
      </c>
      <c r="C12" s="42" t="inlineStr">
        <is>
          <t>#     jbpool                  snapshot (detailed report, once)</t>
        </is>
      </c>
    </row>
    <row r="13" ht="15.75" customHeight="1">
      <c r="B13" s="41" t="n">
        <v>7</v>
      </c>
      <c r="C13" s="42" t="inlineStr">
        <is>
          <t>#     jbpool watch 10         trend every 10 sec (Ctrl+C to stop)</t>
        </is>
      </c>
    </row>
    <row r="14" ht="15.75" customHeight="1">
      <c r="B14" s="41" t="n">
        <v>8</v>
      </c>
      <c r="C14" s="42" t="inlineStr">
        <is>
          <t>#     jbpool csv 10 360 &gt; /tmp/pool.csv   CSV for Excel</t>
        </is>
      </c>
    </row>
    <row r="15" ht="15.75" customHeight="1">
      <c r="B15" s="41" t="n">
        <v>9</v>
      </c>
      <c r="C15" s="42" t="inlineStr">
        <is>
          <t>#     jbpool threads          stack traces of threads waiting for a connection</t>
        </is>
      </c>
    </row>
    <row r="16" ht="15.75" customHeight="1">
      <c r="B16" s="41" t="n">
        <v>10</v>
      </c>
      <c r="C16" s="42" t="inlineStr">
        <is>
          <t>#     jbpool enable-stats     turn statistics on (runtime only)</t>
        </is>
      </c>
    </row>
    <row r="17" ht="15.75" customHeight="1">
      <c r="B17" s="41" t="n">
        <v>11</v>
      </c>
      <c r="C17" s="42" t="inlineStr">
        <is>
          <t>#     jbpool help</t>
        </is>
      </c>
    </row>
    <row r="18" ht="15.75" customHeight="1">
      <c r="B18" s="41" t="n">
        <v>12</v>
      </c>
      <c r="C18" s="42" t="inlineStr">
        <is>
          <t>#   Read-only, except enable-stats / disable-stats.</t>
        </is>
      </c>
    </row>
    <row r="19" ht="15.75" customHeight="1">
      <c r="B19" s="41" t="n">
        <v>13</v>
      </c>
      <c r="C19" s="42" t="inlineStr">
        <is>
          <t>#   Optional env: JBOSS_HOME MGMT_HOST MGMT_PORT CONTROLLER CLI_USER CLI_PASS</t>
        </is>
      </c>
    </row>
    <row r="20" ht="15.75" customHeight="1">
      <c r="B20" s="41" t="n">
        <v>14</v>
      </c>
      <c r="C20" s="42" t="inlineStr">
        <is>
          <t>#                 JBP_LABEL JBP_WARN JBP_CSV JBP_JAVA_OPTS JBP_MIN_FREE_MB JBP_FORCE</t>
        </is>
      </c>
    </row>
    <row r="21" ht="15.75" customHeight="1">
      <c r="B21" s="41" t="n">
        <v>15</v>
      </c>
      <c r="C21" s="42" t="inlineStr">
        <is>
          <t>#                 TZ (e.g. TZ=JST-9)</t>
        </is>
      </c>
    </row>
    <row r="22" ht="15.75" customHeight="1">
      <c r="B22" s="41" t="n">
        <v>16</v>
      </c>
      <c r="C22" s="42" t="inlineStr">
        <is>
          <t>#   ASCII only / no TAB / no history-expansion chars: safe to paste.</t>
        </is>
      </c>
    </row>
    <row r="23" ht="15.75" customHeight="1">
      <c r="B23" s="41" t="n">
        <v>17</v>
      </c>
      <c r="C23" s="42" t="inlineStr">
        <is>
          <t>#   Long paste may be cut in some terminals: then paste PART 1, 2, 3 one by one.</t>
        </is>
      </c>
    </row>
    <row r="24" ht="15.75" customHeight="1">
      <c r="B24" s="41" t="n">
        <v>18</v>
      </c>
      <c r="C24" s="42" t="inlineStr">
        <is>
          <t># =============================================================================</t>
        </is>
      </c>
    </row>
    <row r="25" ht="15.75" customHeight="1">
      <c r="B25" s="41" t="n">
        <v>19</v>
      </c>
      <c r="C25" s="43" t="inlineStr">
        <is>
          <t># ---------------------------------------------------------------- PART 1/3 : functions</t>
        </is>
      </c>
    </row>
    <row r="26" ht="15.75" customHeight="1">
      <c r="B26" s="41" t="n">
        <v>20</v>
      </c>
      <c r="C26" s="42" t="inlineStr">
        <is>
          <t>case $- in *H*) set +H ;; esac</t>
        </is>
      </c>
    </row>
    <row r="27" ht="15.75" customHeight="1">
      <c r="B27" s="41" t="n">
        <v>21</v>
      </c>
      <c r="C27" s="42" t="n"/>
    </row>
    <row r="28" ht="15.75" customHeight="1">
      <c r="B28" s="41" t="n">
        <v>22</v>
      </c>
      <c r="C28" s="42" t="inlineStr">
        <is>
          <t>jbp_help() {</t>
        </is>
      </c>
    </row>
    <row r="29" ht="15.75" customHeight="1">
      <c r="B29" s="41" t="n">
        <v>23</v>
      </c>
      <c r="C29" s="42" t="inlineStr">
        <is>
          <t xml:space="preserve">  cat &lt;&lt;'JBP_HELP'</t>
        </is>
      </c>
    </row>
    <row r="30" ht="15.75" customHeight="1">
      <c r="B30" s="41" t="n">
        <v>24</v>
      </c>
      <c r="C30" s="42" t="inlineStr">
        <is>
          <t>jbpool - JBoss EAP / WildFly datasource connection-pool inspector</t>
        </is>
      </c>
    </row>
    <row r="31" ht="15.75" customHeight="1">
      <c r="B31" s="41" t="n">
        <v>25</v>
      </c>
      <c r="C31" s="42" t="inlineStr">
        <is>
          <t xml:space="preserve">  jbpool                    snapshot : detailed report (once)</t>
        </is>
      </c>
    </row>
    <row r="32" ht="15.75" customHeight="1">
      <c r="B32" s="41" t="n">
        <v>26</v>
      </c>
      <c r="C32" s="42" t="inlineStr">
        <is>
          <t xml:space="preserve">  jbpool watch [sec] [n]    trend    : every sec (default 10), n times (0 = until Ctrl+C)</t>
        </is>
      </c>
    </row>
    <row r="33" ht="15.75" customHeight="1">
      <c r="B33" s="41" t="n">
        <v>27</v>
      </c>
      <c r="C33" s="42" t="inlineStr">
        <is>
          <t xml:space="preserve">  jbpool csv   [sec] [n]    CSV      : same as watch, CSV lines for Excel</t>
        </is>
      </c>
    </row>
    <row r="34" ht="15.75" customHeight="1">
      <c r="B34" s="41" t="n">
        <v>28</v>
      </c>
      <c r="C34" s="42" t="inlineStr">
        <is>
          <t xml:space="preserve">  jbpool threads            stack traces of threads queued for a connection</t>
        </is>
      </c>
    </row>
    <row r="35" ht="15.75" customHeight="1">
      <c r="B35" s="41" t="n">
        <v>29</v>
      </c>
      <c r="C35" s="42" t="inlineStr">
        <is>
          <t xml:space="preserve">  jbpool enable-stats       statistics-enabled=true on every pool (runtime only)</t>
        </is>
      </c>
    </row>
    <row r="36" ht="15.75" customHeight="1">
      <c r="B36" s="41" t="n">
        <v>30</v>
      </c>
      <c r="C36" s="42" t="inlineStr">
        <is>
          <t xml:space="preserve">  jbpool disable-stats      statistics-enabled=false</t>
        </is>
      </c>
    </row>
    <row r="37" ht="15.75" customHeight="1">
      <c r="B37" s="41" t="n">
        <v>31</v>
      </c>
      <c r="C37" s="42" t="inlineStr">
        <is>
          <t xml:space="preserve">  jbpool raw                raw CLI output (debug)</t>
        </is>
      </c>
    </row>
    <row r="38" ht="15.75" customHeight="1">
      <c r="B38" s="41" t="n">
        <v>32</v>
      </c>
      <c r="C38" s="42" t="inlineStr">
        <is>
          <t>env  JBOSS_HOME   EAP install dir (auto: /opt/server /opt/eap /opt/jboss/wildfly ...)</t>
        </is>
      </c>
    </row>
    <row r="39" ht="15.75" customHeight="1">
      <c r="B39" s="41" t="n">
        <v>33</v>
      </c>
      <c r="C39" s="42" t="inlineStr">
        <is>
          <t xml:space="preserve">     MGMT_PORT    management port (auto: 9990 + port-offset of the running server)</t>
        </is>
      </c>
    </row>
    <row r="40" ht="15.75" customHeight="1">
      <c r="B40" s="41" t="n">
        <v>34</v>
      </c>
      <c r="C40" s="42" t="inlineStr">
        <is>
          <t xml:space="preserve">     MGMT_HOST    management address (auto: 127.0.0.1 or -bmanagement)</t>
        </is>
      </c>
    </row>
    <row r="41" ht="15.75" customHeight="1">
      <c r="B41" s="41" t="n">
        <v>35</v>
      </c>
      <c r="C41" s="42" t="inlineStr">
        <is>
          <t xml:space="preserve">     CONTROLLER   full controller URL, e.g. remote+http://127.0.0.1:10090</t>
        </is>
      </c>
    </row>
    <row r="42" ht="15.75" customHeight="1">
      <c r="B42" s="41" t="n">
        <v>36</v>
      </c>
      <c r="C42" s="42" t="inlineStr">
        <is>
          <t xml:space="preserve">     CLI_USER / CLI_PASS   management user (only if local silent auth fails)</t>
        </is>
      </c>
    </row>
    <row r="43" ht="15.75" customHeight="1">
      <c r="B43" s="41" t="n">
        <v>37</v>
      </c>
      <c r="C43" s="42" t="inlineStr">
        <is>
          <t xml:space="preserve">     JBP_LABEL    name to show (auto: ECS container name or hostname)</t>
        </is>
      </c>
    </row>
    <row r="44" ht="15.75" customHeight="1">
      <c r="B44" s="41" t="n">
        <v>38</v>
      </c>
      <c r="C44" s="42" t="inlineStr">
        <is>
          <t xml:space="preserve">     JBP_WARN     BUSY threshold in % of max-pool-size (default 80)</t>
        </is>
      </c>
    </row>
    <row r="45" ht="15.75" customHeight="1">
      <c r="B45" s="41" t="n">
        <v>39</v>
      </c>
      <c r="C45" s="42" t="inlineStr">
        <is>
          <t xml:space="preserve">     JBP_CSV      file to append CSV rows to while "watch" runs</t>
        </is>
      </c>
    </row>
    <row r="46" ht="15.75" customHeight="1">
      <c r="B46" s="41" t="n">
        <v>40</v>
      </c>
      <c r="C46" s="42" t="inlineStr">
        <is>
          <t xml:space="preserve">     TZ           display time zone, e.g. TZ=JST-9 (works without tzdata)</t>
        </is>
      </c>
    </row>
    <row r="47" ht="15.75" customHeight="1">
      <c r="B47" s="41" t="n">
        <v>41</v>
      </c>
      <c r="C47" s="42" t="inlineStr">
        <is>
          <t xml:space="preserve">     JBP_MIN_FREE_MB  stop if container memory headroom is below this (default 200)</t>
        </is>
      </c>
    </row>
    <row r="48" ht="15.75" customHeight="1">
      <c r="B48" s="41" t="n">
        <v>42</v>
      </c>
      <c r="C48" s="42" t="inlineStr">
        <is>
          <t xml:space="preserve">     JBP_FORCE=1      run even if headroom is low</t>
        </is>
      </c>
    </row>
    <row r="49" ht="15.75" customHeight="1">
      <c r="B49" s="41" t="n">
        <v>43</v>
      </c>
      <c r="C49" s="42" t="inlineStr">
        <is>
          <t>JBP_HELP</t>
        </is>
      </c>
    </row>
    <row r="50" ht="15.75" customHeight="1">
      <c r="B50" s="41" t="n">
        <v>44</v>
      </c>
      <c r="C50" s="42" t="inlineStr">
        <is>
          <t>}</t>
        </is>
      </c>
    </row>
    <row r="51" ht="15.75" customHeight="1">
      <c r="B51" s="41" t="n">
        <v>45</v>
      </c>
      <c r="C51" s="42" t="n"/>
    </row>
    <row r="52" ht="15.75" customHeight="1">
      <c r="B52" s="41" t="n">
        <v>46</v>
      </c>
      <c r="C52" s="42" t="inlineStr">
        <is>
          <t>jbp_setup() {</t>
        </is>
      </c>
    </row>
    <row r="53" ht="15.75" customHeight="1">
      <c r="B53" s="41" t="n">
        <v>47</v>
      </c>
      <c r="C53" s="42" t="inlineStr">
        <is>
          <t xml:space="preserve">  JBP_CLI=""</t>
        </is>
      </c>
    </row>
    <row r="54" ht="15.75" customHeight="1">
      <c r="B54" s="41" t="n">
        <v>48</v>
      </c>
      <c r="C54" s="42" t="inlineStr">
        <is>
          <t xml:space="preserve">  for JBP_d in "${JBOSS_HOME:-}" /opt/server /opt/eap /opt/jboss/wildfly /opt/wildfly \</t>
        </is>
      </c>
    </row>
    <row r="55" ht="15.75" customHeight="1">
      <c r="B55" s="41" t="n">
        <v>49</v>
      </c>
      <c r="C55" s="42" t="inlineStr">
        <is>
          <t xml:space="preserve">               /opt/jboss-eap /opt/jboss-eap-8.1 /opt/jboss-eap-8.0 /opt/jboss-eap-7.4 /usr/share/wildfly; do</t>
        </is>
      </c>
    </row>
    <row r="56" ht="15.75" customHeight="1">
      <c r="B56" s="41" t="n">
        <v>50</v>
      </c>
      <c r="C56" s="42" t="inlineStr">
        <is>
          <t xml:space="preserve">    if [ -n "$JBP_d" ] &amp;&amp; [ -f "$JBP_d/bin/jboss-cli.sh" ]; then JBP_CLI="$JBP_d/bin/jboss-cli.sh"; break; fi</t>
        </is>
      </c>
    </row>
    <row r="57" ht="15.75" customHeight="1">
      <c r="B57" s="41" t="n">
        <v>51</v>
      </c>
      <c r="C57" s="42" t="inlineStr">
        <is>
          <t xml:space="preserve">  done</t>
        </is>
      </c>
    </row>
    <row r="58" ht="15.75" customHeight="1">
      <c r="B58" s="41" t="n">
        <v>52</v>
      </c>
      <c r="C58" s="42" t="inlineStr">
        <is>
          <t xml:space="preserve">  if [ -z "$JBP_CLI" ]; then</t>
        </is>
      </c>
    </row>
    <row r="59" ht="15.75" customHeight="1">
      <c r="B59" s="41" t="n">
        <v>53</v>
      </c>
      <c r="C59" s="42" t="inlineStr">
        <is>
          <t xml:space="preserve">    JBP_CLI=$(find / -xdev -path '*/bin/jboss-cli.sh' 2&gt;/dev/null | head -n 1)</t>
        </is>
      </c>
    </row>
    <row r="60" ht="15.75" customHeight="1">
      <c r="B60" s="41" t="n">
        <v>54</v>
      </c>
      <c r="C60" s="42" t="inlineStr">
        <is>
          <t xml:space="preserve">  fi</t>
        </is>
      </c>
    </row>
    <row r="61" ht="15.75" customHeight="1">
      <c r="B61" s="41" t="n">
        <v>55</v>
      </c>
      <c r="C61" s="42" t="inlineStr">
        <is>
          <t xml:space="preserve">  if [ -z "$JBP_CLI" ]; then</t>
        </is>
      </c>
    </row>
    <row r="62" ht="15.75" customHeight="1">
      <c r="B62" s="41" t="n">
        <v>56</v>
      </c>
      <c r="C62" s="42" t="inlineStr">
        <is>
          <t xml:space="preserve">    echo "[jbpool] jboss-cli.sh not found. set JBOSS_HOME=/path/to/eap and retry." &gt;&amp;2</t>
        </is>
      </c>
    </row>
    <row r="63" ht="15.75" customHeight="1">
      <c r="B63" s="41" t="n">
        <v>57</v>
      </c>
      <c r="C63" s="42" t="inlineStr">
        <is>
          <t xml:space="preserve">    return 1</t>
        </is>
      </c>
    </row>
    <row r="64" ht="15.75" customHeight="1">
      <c r="B64" s="41" t="n">
        <v>58</v>
      </c>
      <c r="C64" s="42" t="inlineStr">
        <is>
          <t xml:space="preserve">  fi</t>
        </is>
      </c>
    </row>
    <row r="65" ht="15.75" customHeight="1">
      <c r="B65" s="41" t="n">
        <v>59</v>
      </c>
      <c r="C65" s="42" t="inlineStr">
        <is>
          <t xml:space="preserve">  # --- find the running standalone server and its management port / address</t>
        </is>
      </c>
    </row>
    <row r="66" ht="15.75" customHeight="1">
      <c r="B66" s="41" t="n">
        <v>60</v>
      </c>
      <c r="C66" s="42" t="inlineStr">
        <is>
          <t xml:space="preserve">  JBP_NPROC=0; JBP_PID=""; JBP_off=""; JBP_mp=""; JBP_mh=""</t>
        </is>
      </c>
    </row>
    <row r="67" ht="15.75" customHeight="1">
      <c r="B67" s="41" t="n">
        <v>61</v>
      </c>
      <c r="C67" s="42" t="inlineStr">
        <is>
          <t xml:space="preserve">  for JBP_p in /proc/[0-9]*; do</t>
        </is>
      </c>
    </row>
    <row r="68" ht="15.75" customHeight="1">
      <c r="B68" s="41" t="n">
        <v>62</v>
      </c>
      <c r="C68" s="42" t="inlineStr">
        <is>
          <t xml:space="preserve">    [ -r "$JBP_p/cmdline" ] || continue</t>
        </is>
      </c>
    </row>
    <row r="69" ht="15.75" customHeight="1">
      <c r="B69" s="41" t="n">
        <v>63</v>
      </c>
      <c r="C69" s="42" t="inlineStr">
        <is>
          <t xml:space="preserve">    JBP_c=$(tr '\000' ' ' &lt; "$JBP_p/cmdline" 2&gt;/dev/null)</t>
        </is>
      </c>
    </row>
    <row r="70" ht="15.75" customHeight="1">
      <c r="B70" s="41" t="n">
        <v>64</v>
      </c>
      <c r="C70" s="42" t="inlineStr">
        <is>
          <t xml:space="preserve">    case "$JBP_c" in *org.jboss.as.standalone*) ;; *) continue ;; esac</t>
        </is>
      </c>
    </row>
    <row r="71" ht="15.75" customHeight="1">
      <c r="B71" s="41" t="n">
        <v>65</v>
      </c>
      <c r="C71" s="42" t="inlineStr">
        <is>
          <t xml:space="preserve">    JBP_NPROC=$((JBP_NPROC + 1))</t>
        </is>
      </c>
    </row>
    <row r="72" ht="15.75" customHeight="1">
      <c r="B72" s="41" t="n">
        <v>66</v>
      </c>
      <c r="C72" s="42" t="inlineStr">
        <is>
          <t xml:space="preserve">    [ -n "$JBP_PID" ] &amp;&amp; continue</t>
        </is>
      </c>
    </row>
    <row r="73" ht="15.75" customHeight="1">
      <c r="B73" s="41" t="n">
        <v>67</v>
      </c>
      <c r="C73" s="42" t="inlineStr">
        <is>
          <t xml:space="preserve">    JBP_PID=${JBP_p#/proc/}</t>
        </is>
      </c>
    </row>
    <row r="74" ht="15.75" customHeight="1">
      <c r="B74" s="41" t="n">
        <v>68</v>
      </c>
      <c r="C74" s="42" t="inlineStr">
        <is>
          <t xml:space="preserve">    JBP_off=$(printf '%s\n' "$JBP_c" | sed -n 's/.*-Djboss\.socket\.binding\.port-offset=\([0-9][0-9]*\).*/\1/p')</t>
        </is>
      </c>
    </row>
    <row r="75" ht="15.75" customHeight="1">
      <c r="B75" s="41" t="n">
        <v>69</v>
      </c>
      <c r="C75" s="42" t="inlineStr">
        <is>
          <t xml:space="preserve">    JBP_mp=$(printf '%s\n' "$JBP_c" | sed -n 's/.*-Djboss\.management\.http\.port=\([0-9][0-9]*\).*/\1/p')</t>
        </is>
      </c>
    </row>
    <row r="76" ht="15.75" customHeight="1">
      <c r="B76" s="41" t="n">
        <v>70</v>
      </c>
      <c r="C76" s="42" t="inlineStr">
        <is>
          <t xml:space="preserve">    JBP_mh=$(printf '%s\n' "$JBP_c" | sed -n 's/.*-Djboss\.bind\.address\.management=\([^ ]*\).*/\1/p')</t>
        </is>
      </c>
    </row>
    <row r="77" ht="15.75" customHeight="1">
      <c r="B77" s="41" t="n">
        <v>71</v>
      </c>
      <c r="C77" s="42" t="inlineStr">
        <is>
          <t xml:space="preserve">    [ -z "$JBP_mh" ] &amp;&amp; JBP_mh=$(printf '%s\n' "$JBP_c" | sed -n 's/.*-bmanagement[= ]\([^ ]*\).*/\1/p')</t>
        </is>
      </c>
    </row>
    <row r="78" ht="15.75" customHeight="1">
      <c r="B78" s="41" t="n">
        <v>72</v>
      </c>
      <c r="C78" s="42" t="inlineStr">
        <is>
          <t xml:space="preserve">  done</t>
        </is>
      </c>
    </row>
    <row r="79" ht="15.75" customHeight="1">
      <c r="B79" s="41" t="n">
        <v>73</v>
      </c>
      <c r="C79" s="42" t="inlineStr">
        <is>
          <t xml:space="preserve">  JBP_host=${MGMT_HOST:-$JBP_mh}</t>
        </is>
      </c>
    </row>
    <row r="80" ht="15.75" customHeight="1">
      <c r="B80" s="41" t="n">
        <v>74</v>
      </c>
      <c r="C80" s="42" t="inlineStr">
        <is>
          <t xml:space="preserve">  case "$JBP_host" in ""|0.0.0.0|::|"[::]") JBP_host=127.0.0.1 ;; esac</t>
        </is>
      </c>
    </row>
    <row r="81" ht="15.75" customHeight="1">
      <c r="B81" s="41" t="n">
        <v>75</v>
      </c>
      <c r="C81" s="42" t="inlineStr">
        <is>
          <t xml:space="preserve">  JBP_port=${MGMT_PORT:-$(( ${JBP_mp:-9990} + ${JBP_off:-0} ))}</t>
        </is>
      </c>
    </row>
    <row r="82" ht="15.75" customHeight="1">
      <c r="B82" s="41" t="n">
        <v>76</v>
      </c>
      <c r="C82" s="42" t="inlineStr">
        <is>
          <t xml:space="preserve">  JBP_CTRL=${CONTROLLER:-remote+http://$JBP_host:$JBP_port}</t>
        </is>
      </c>
    </row>
    <row r="83" ht="15.75" customHeight="1">
      <c r="B83" s="41" t="n">
        <v>77</v>
      </c>
      <c r="C83" s="42" t="inlineStr">
        <is>
          <t xml:space="preserve">  # --- helpers: timeout command, temp dir, label</t>
        </is>
      </c>
    </row>
    <row r="84" ht="15.75" customHeight="1">
      <c r="B84" s="41" t="n">
        <v>78</v>
      </c>
      <c r="C84" s="42" t="inlineStr">
        <is>
          <t xml:space="preserve">  JBP_TO=""</t>
        </is>
      </c>
    </row>
    <row r="85" ht="15.75" customHeight="1">
      <c r="B85" s="41" t="n">
        <v>79</v>
      </c>
      <c r="C85" s="42" t="inlineStr">
        <is>
          <t xml:space="preserve">  command -v timeout &gt;/dev/null 2&gt;&amp;1 &amp;&amp; JBP_TO="timeout ${JBP_CLI_TIMEOUT:-90}"</t>
        </is>
      </c>
    </row>
    <row r="86" ht="15.75" customHeight="1">
      <c r="B86" s="41" t="n">
        <v>80</v>
      </c>
      <c r="C86" s="42" t="inlineStr">
        <is>
          <t xml:space="preserve">  JBP_TMP=""</t>
        </is>
      </c>
    </row>
    <row r="87" ht="15.75" customHeight="1">
      <c r="B87" s="41" t="n">
        <v>81</v>
      </c>
      <c r="C87" s="42" t="inlineStr">
        <is>
          <t xml:space="preserve">  for JBP_d in "${TMPDIR:-}" /tmp /dev/shm /var/tmp "${JBP_CLI%/bin/jboss-cli.sh}/standalone/tmp" "${HOME:-}"; do</t>
        </is>
      </c>
    </row>
    <row r="88" ht="15.75" customHeight="1">
      <c r="B88" s="41" t="n">
        <v>82</v>
      </c>
      <c r="C88" s="42" t="inlineStr">
        <is>
          <t xml:space="preserve">    if [ -n "$JBP_d" ] &amp;&amp; [ -d "$JBP_d" ] &amp;&amp; [ -w "$JBP_d" ]; then JBP_TMP=$JBP_d; break; fi</t>
        </is>
      </c>
    </row>
    <row r="89" ht="15.75" customHeight="1">
      <c r="B89" s="41" t="n">
        <v>83</v>
      </c>
      <c r="C89" s="42" t="inlineStr">
        <is>
          <t xml:space="preserve">  done</t>
        </is>
      </c>
    </row>
    <row r="90" ht="15.75" customHeight="1">
      <c r="B90" s="41" t="n">
        <v>84</v>
      </c>
      <c r="C90" s="42" t="inlineStr">
        <is>
          <t xml:space="preserve">  if [ -z "$JBP_TMP" ]; then echo "[jbpool] no writable temp directory" &gt;&amp;2; return 1; fi</t>
        </is>
      </c>
    </row>
    <row r="91" ht="15.75" customHeight="1">
      <c r="B91" s="41" t="n">
        <v>85</v>
      </c>
      <c r="C91" s="42" t="inlineStr">
        <is>
          <t xml:space="preserve">  JBP_F="$JBP_TMP/jbpool.$$.cli"; JBP_E="$JBP_TMP/jbpool.$$.err"</t>
        </is>
      </c>
    </row>
    <row r="92" ht="15.75" customHeight="1">
      <c r="B92" s="41" t="n">
        <v>86</v>
      </c>
      <c r="C92" s="42" t="inlineStr">
        <is>
          <t xml:space="preserve">  JBP_HOSTN=$(hostname 2&gt;/dev/null || cat /proc/sys/kernel/hostname 2&gt;/dev/null)</t>
        </is>
      </c>
    </row>
    <row r="93" ht="15.75" customHeight="1">
      <c r="B93" s="41" t="n">
        <v>87</v>
      </c>
      <c r="C93" s="42" t="inlineStr">
        <is>
          <t xml:space="preserve">  JBP_LBL=${JBP_LABEL:-}; JBP_TASK=""</t>
        </is>
      </c>
    </row>
    <row r="94" ht="15.75" customHeight="1">
      <c r="B94" s="41" t="n">
        <v>88</v>
      </c>
      <c r="C94" s="42" t="inlineStr">
        <is>
          <t xml:space="preserve">  if [ -n "${ECS_CONTAINER_METADATA_URI_V4:-}" ]; then</t>
        </is>
      </c>
    </row>
    <row r="95" ht="15.75" customHeight="1">
      <c r="B95" s="41" t="n">
        <v>89</v>
      </c>
      <c r="C95" s="42" t="inlineStr">
        <is>
          <t xml:space="preserve">    JBP_j=$( { curl -s -m 2 "$ECS_CONTAINER_METADATA_URI_V4" || wget -q -T 2 -O - "$ECS_CONTAINER_METADATA_URI_V4"; } 2&gt;/dev/null )</t>
        </is>
      </c>
    </row>
    <row r="96" ht="15.75" customHeight="1">
      <c r="B96" s="41" t="n">
        <v>90</v>
      </c>
      <c r="C96" s="42" t="inlineStr">
        <is>
          <t xml:space="preserve">    [ -z "$JBP_LBL" ] &amp;&amp; JBP_LBL=$(printf '%s' "$JBP_j" | sed -n 's|.*"com\.amazonaws\.ecs\.container-name":"\([^"]*\)".*|\1|p')</t>
        </is>
      </c>
    </row>
    <row r="97" ht="15.75" customHeight="1">
      <c r="B97" s="41" t="n">
        <v>91</v>
      </c>
      <c r="C97" s="42" t="inlineStr">
        <is>
          <t xml:space="preserve">    JBP_TASK=$(printf '%s' "$JBP_j" | sed -n 's|.*"com\.amazonaws\.ecs\.task-arn":"[^"]*/\([^"/]*\)".*|\1|p')</t>
        </is>
      </c>
    </row>
    <row r="98" ht="15.75" customHeight="1">
      <c r="B98" s="41" t="n">
        <v>92</v>
      </c>
      <c r="C98" s="42" t="inlineStr">
        <is>
          <t xml:space="preserve">  fi</t>
        </is>
      </c>
    </row>
    <row r="99" ht="15.75" customHeight="1">
      <c r="B99" s="41" t="n">
        <v>93</v>
      </c>
      <c r="C99" s="42" t="inlineStr">
        <is>
          <t xml:space="preserve">  [ -z "$JBP_LBL" ] &amp;&amp; JBP_LBL=$JBP_HOSTN</t>
        </is>
      </c>
    </row>
    <row r="100" ht="15.75" customHeight="1">
      <c r="B100" s="41" t="n">
        <v>94</v>
      </c>
      <c r="C100" s="42" t="inlineStr">
        <is>
          <t xml:space="preserve">  # --- memory headroom: the CLI JVM needs about 120-150 MB (measured RSS ~119 MB)</t>
        </is>
      </c>
    </row>
    <row r="101" ht="15.75" customHeight="1">
      <c r="B101" s="41" t="n">
        <v>95</v>
      </c>
      <c r="C101" s="42" t="inlineStr">
        <is>
          <t xml:space="preserve">  JBP_MEM=""; JBP_lim=""; JBP_cur=""</t>
        </is>
      </c>
    </row>
    <row r="102" ht="15.75" customHeight="1">
      <c r="B102" s="41" t="n">
        <v>96</v>
      </c>
      <c r="C102" s="42" t="inlineStr">
        <is>
          <t xml:space="preserve">  if [ -r /sys/fs/cgroup/memory.max ]; then</t>
        </is>
      </c>
    </row>
    <row r="103" ht="15.75" customHeight="1">
      <c r="B103" s="41" t="n">
        <v>97</v>
      </c>
      <c r="C103" s="42" t="inlineStr">
        <is>
          <t xml:space="preserve">    JBP_lim=$(cat /sys/fs/cgroup/memory.max 2&gt;/dev/null); JBP_cur=$(cat /sys/fs/cgroup/memory.current 2&gt;/dev/null)</t>
        </is>
      </c>
    </row>
    <row r="104" ht="15.75" customHeight="1">
      <c r="B104" s="41" t="n">
        <v>98</v>
      </c>
      <c r="C104" s="42" t="inlineStr">
        <is>
          <t xml:space="preserve">  elif [ -r /sys/fs/cgroup/memory/memory.limit_in_bytes ]; then</t>
        </is>
      </c>
    </row>
    <row r="105" ht="31.5" customHeight="1">
      <c r="B105" s="41" t="n">
        <v>99</v>
      </c>
      <c r="C105" s="42" t="inlineStr">
        <is>
          <t xml:space="preserve">    JBP_lim=$(cat /sys/fs/cgroup/memory/memory.limit_in_bytes 2&gt;/dev/null); JBP_cur=$(cat /sys/fs/cgroup/memory/memory.usage_in_bytes 2&gt;/dev/null)</t>
        </is>
      </c>
    </row>
    <row r="106" ht="15.75" customHeight="1">
      <c r="B106" s="41" t="n">
        <v>100</v>
      </c>
      <c r="C106" s="42" t="inlineStr">
        <is>
          <t xml:space="preserve">  fi</t>
        </is>
      </c>
    </row>
    <row r="107" ht="15.75" customHeight="1">
      <c r="B107" s="41" t="n">
        <v>101</v>
      </c>
      <c r="C107" s="42" t="inlineStr">
        <is>
          <t xml:space="preserve">  case "$JBP_lim" in ""|*[a-z]*) JBP_lim="" ;; esac</t>
        </is>
      </c>
    </row>
    <row r="108" ht="15.75" customHeight="1">
      <c r="B108" s="41" t="n">
        <v>102</v>
      </c>
      <c r="C108" s="42" t="inlineStr">
        <is>
          <t xml:space="preserve">  case "$JBP_cur" in ""|*[a-z]*) JBP_cur="" ;; esac</t>
        </is>
      </c>
    </row>
    <row r="109" ht="15.75" customHeight="1">
      <c r="B109" s="41" t="n">
        <v>103</v>
      </c>
      <c r="C109" s="42" t="inlineStr">
        <is>
          <t xml:space="preserve">  if [ -n "$JBP_lim" ] &amp;&amp; [ -n "$JBP_cur" ] &amp;&amp; [ "$JBP_lim" -lt 1000000000000 ]; then</t>
        </is>
      </c>
    </row>
    <row r="110" ht="15.75" customHeight="1">
      <c r="B110" s="41" t="n">
        <v>104</v>
      </c>
      <c r="C110" s="42" t="inlineStr">
        <is>
          <t xml:space="preserve">    JBP_free=$(( (JBP_lim - JBP_cur) / 1048576 ))</t>
        </is>
      </c>
    </row>
    <row r="111" ht="15.75" customHeight="1">
      <c r="B111" s="41" t="n">
        <v>105</v>
      </c>
      <c r="C111" s="42" t="inlineStr">
        <is>
          <t xml:space="preserve">    JBP_MEM="$(( JBP_cur / 1048576 ))MB used / $(( JBP_lim / 1048576 ))MB limit (headroom ${JBP_free}MB)"</t>
        </is>
      </c>
    </row>
    <row r="112" ht="15.75" customHeight="1">
      <c r="B112" s="41" t="n">
        <v>106</v>
      </c>
      <c r="C112" s="42" t="inlineStr">
        <is>
          <t xml:space="preserve">    if [ "$JBP_free" -lt "${JBP_MIN_FREE_MB:-200}" ] &amp;&amp; [ -z "${JBP_FORCE:-}" ]; then</t>
        </is>
      </c>
    </row>
    <row r="113" ht="15.75" customHeight="1">
      <c r="B113" s="41" t="n">
        <v>107</v>
      </c>
      <c r="C113" s="42" t="inlineStr">
        <is>
          <t xml:space="preserve">      echo "[jbpool] STOP: container memory headroom is only ${JBP_free}MB; the CLI JVM needs ~150MB (OOM-kill risk)." &gt;&amp;2</t>
        </is>
      </c>
    </row>
    <row r="114" ht="15.75" customHeight="1">
      <c r="B114" s="41" t="n">
        <v>108</v>
      </c>
      <c r="C114" s="42" t="inlineStr">
        <is>
          <t xml:space="preserve">      echo "         run anyway:  JBP_FORCE=1 jbpool ...   (or set JBP_MIN_FREE_MB)" &gt;&amp;2</t>
        </is>
      </c>
    </row>
    <row r="115" ht="15.75" customHeight="1">
      <c r="B115" s="41" t="n">
        <v>109</v>
      </c>
      <c r="C115" s="42" t="inlineStr">
        <is>
          <t xml:space="preserve">      return 1</t>
        </is>
      </c>
    </row>
    <row r="116" ht="15.75" customHeight="1">
      <c r="B116" s="41" t="n">
        <v>110</v>
      </c>
      <c r="C116" s="42" t="inlineStr">
        <is>
          <t xml:space="preserve">    fi</t>
        </is>
      </c>
    </row>
    <row r="117" ht="15.75" customHeight="1">
      <c r="B117" s="41" t="n">
        <v>111</v>
      </c>
      <c r="C117" s="42" t="inlineStr">
        <is>
          <t xml:space="preserve">  fi</t>
        </is>
      </c>
    </row>
    <row r="118" ht="15.75" customHeight="1">
      <c r="B118" s="41" t="n">
        <v>112</v>
      </c>
      <c r="C118" s="42" t="inlineStr">
        <is>
          <t xml:space="preserve">  return 0</t>
        </is>
      </c>
    </row>
    <row r="119" ht="15.75" customHeight="1">
      <c r="B119" s="41" t="n">
        <v>113</v>
      </c>
      <c r="C119" s="42" t="inlineStr">
        <is>
          <t>}</t>
        </is>
      </c>
    </row>
    <row r="120" ht="15.75" customHeight="1">
      <c r="B120" s="41" t="n">
        <v>114</v>
      </c>
      <c r="C120" s="42" t="n"/>
    </row>
    <row r="121" ht="15.75" customHeight="1">
      <c r="B121" s="41" t="n">
        <v>115</v>
      </c>
      <c r="C121" s="42" t="inlineStr">
        <is>
          <t># run jboss-cli with a small, isolated JVM (does not inherit the server heap / agents)</t>
        </is>
      </c>
    </row>
    <row r="122" ht="15.75" customHeight="1">
      <c r="B122" s="41" t="n">
        <v>116</v>
      </c>
      <c r="C122" s="42" t="inlineStr">
        <is>
          <t>jbp_cli() {</t>
        </is>
      </c>
    </row>
    <row r="123" ht="15.75" customHeight="1">
      <c r="B123" s="41" t="n">
        <v>117</v>
      </c>
      <c r="C123" s="42" t="inlineStr">
        <is>
          <t xml:space="preserve">  ( unset JAVA_TOOL_OPTIONS _JAVA_OPTIONS JDK_JAVA_OPTIONS</t>
        </is>
      </c>
    </row>
    <row r="124" ht="15.75" customHeight="1">
      <c r="B124" s="41" t="n">
        <v>118</v>
      </c>
      <c r="C124" s="42" t="inlineStr">
        <is>
          <t xml:space="preserve">    JAVA_OPTS=${JBP_JAVA_OPTS:-"-Xms16m -Xmx128m -XX:+UseSerialGC -XX:TieredStopAtLevel=1"}</t>
        </is>
      </c>
    </row>
    <row r="125" ht="15.75" customHeight="1">
      <c r="B125" s="41" t="n">
        <v>119</v>
      </c>
      <c r="C125" s="42" t="inlineStr">
        <is>
          <t xml:space="preserve">    export JAVA_OPTS</t>
        </is>
      </c>
    </row>
    <row r="126" ht="15.75" customHeight="1">
      <c r="B126" s="41" t="n">
        <v>120</v>
      </c>
      <c r="C126" s="42" t="inlineStr">
        <is>
          <t xml:space="preserve">    if [ -n "${CLI_USER:-}" ]; then</t>
        </is>
      </c>
    </row>
    <row r="127" ht="15.75" customHeight="1">
      <c r="B127" s="41" t="n">
        <v>121</v>
      </c>
      <c r="C127" s="42" t="inlineStr">
        <is>
          <t xml:space="preserve">      $JBP_TO sh "$JBP_CLI" --connect --controller="$JBP_CTRL" --timeout=15000 \</t>
        </is>
      </c>
    </row>
    <row r="128" ht="15.75" customHeight="1">
      <c r="B128" s="41" t="n">
        <v>122</v>
      </c>
      <c r="C128" s="42" t="inlineStr">
        <is>
          <t xml:space="preserve">        --user="$CLI_USER" --password="${CLI_PASS:-}" --file="$1" &lt;/dev/null</t>
        </is>
      </c>
    </row>
    <row r="129" ht="15.75" customHeight="1">
      <c r="B129" s="41" t="n">
        <v>123</v>
      </c>
      <c r="C129" s="42" t="inlineStr">
        <is>
          <t xml:space="preserve">    else</t>
        </is>
      </c>
    </row>
    <row r="130" ht="15.75" customHeight="1">
      <c r="B130" s="41" t="n">
        <v>124</v>
      </c>
      <c r="C130" s="42" t="inlineStr">
        <is>
          <t xml:space="preserve">      $JBP_TO sh "$JBP_CLI" --connect --controller="$JBP_CTRL" --timeout=15000 --file="$1" &lt;/dev/null</t>
        </is>
      </c>
    </row>
    <row r="131" ht="15.75" customHeight="1">
      <c r="B131" s="41" t="n">
        <v>125</v>
      </c>
      <c r="C131" s="42" t="inlineStr">
        <is>
          <t xml:space="preserve">    fi )</t>
        </is>
      </c>
    </row>
    <row r="132" ht="15.75" customHeight="1">
      <c r="B132" s="41" t="n">
        <v>126</v>
      </c>
      <c r="C132" s="42" t="inlineStr">
        <is>
          <t>}</t>
        </is>
      </c>
    </row>
    <row r="133" ht="15.75" customHeight="1">
      <c r="B133" s="41" t="n">
        <v>127</v>
      </c>
      <c r="C133" s="42" t="n"/>
    </row>
    <row r="134" ht="15.75" customHeight="1">
      <c r="B134" s="41" t="n">
        <v>128</v>
      </c>
      <c r="C134" s="42" t="inlineStr">
        <is>
          <t>jbp_fail() {</t>
        </is>
      </c>
    </row>
    <row r="135" ht="15.75" customHeight="1">
      <c r="B135" s="41" t="n">
        <v>129</v>
      </c>
      <c r="C135" s="42" t="inlineStr">
        <is>
          <t xml:space="preserve">  echo "[jbpool] jboss-cli failed (rc=$1)  controller=$JBP_CTRL" &gt;&amp;2</t>
        </is>
      </c>
    </row>
    <row r="136" ht="15.75" customHeight="1">
      <c r="B136" s="41" t="n">
        <v>130</v>
      </c>
      <c r="C136" s="42" t="inlineStr">
        <is>
          <t xml:space="preserve">  [ -n "${2:-}" ] &amp;&amp; printf '%s\n' "$2" | grep -v '^JBPMARK' | head -n 10 &gt;&amp;2</t>
        </is>
      </c>
    </row>
    <row r="137" ht="15.75" customHeight="1">
      <c r="B137" s="41" t="n">
        <v>131</v>
      </c>
      <c r="C137" s="42" t="inlineStr">
        <is>
          <t xml:space="preserve">  head -n 15 "$JBP_E" &gt;&amp;2</t>
        </is>
      </c>
    </row>
    <row r="138" ht="15.75" customHeight="1">
      <c r="B138" s="41" t="n">
        <v>132</v>
      </c>
      <c r="C138" s="42" t="inlineStr">
        <is>
          <t xml:space="preserve">  JBP_msg=$( { printf '%s\n' "${2:-}"; cat "$JBP_E"; } 2&gt;/dev/null )</t>
        </is>
      </c>
    </row>
    <row r="139" ht="15.75" customHeight="1">
      <c r="B139" s="41" t="n">
        <v>133</v>
      </c>
      <c r="C139" s="42" t="inlineStr">
        <is>
          <t xml:space="preserve">  if printf '%s\n' "$JBP_msg" | grep -qiE 'refused|not available|WFLYPRT0053|timed out|unreachable'; then</t>
        </is>
      </c>
    </row>
    <row r="140" ht="15.75" customHeight="1">
      <c r="B140" s="41" t="n">
        <v>134</v>
      </c>
      <c r="C140" s="42" t="inlineStr">
        <is>
          <t xml:space="preserve">    echo "  hint: management port not reachable. front/back in ONE task share localhost," &gt;&amp;2</t>
        </is>
      </c>
    </row>
    <row r="141" ht="15.75" customHeight="1">
      <c r="B141" s="41" t="n">
        <v>135</v>
      </c>
      <c r="C141" s="42" t="inlineStr">
        <is>
          <t xml:space="preserve">    echo "        so one of them usually has a port-offset:  MGMT_PORT=10090 jbpool" &gt;&amp;2</t>
        </is>
      </c>
    </row>
    <row r="142" ht="15.75" customHeight="1">
      <c r="B142" s="41" t="n">
        <v>136</v>
      </c>
      <c r="C142" s="42" t="inlineStr">
        <is>
          <t xml:space="preserve">  fi</t>
        </is>
      </c>
    </row>
    <row r="143" ht="15.75" customHeight="1">
      <c r="B143" s="41" t="n">
        <v>137</v>
      </c>
      <c r="C143" s="42" t="inlineStr">
        <is>
          <t xml:space="preserve">  if printf '%s\n' "$JBP_msg" | grep -qiE 'authenticat|unauthori|JBREM|ELY0'; then</t>
        </is>
      </c>
    </row>
    <row r="144" ht="15.75" customHeight="1">
      <c r="B144" s="41" t="n">
        <v>138</v>
      </c>
      <c r="C144" s="42" t="inlineStr">
        <is>
          <t xml:space="preserve">    echo "  hint: local (silent) auth failed. run as root/server user, or CLI_USER=... CLI_PASS=... jbpool" &gt;&amp;2</t>
        </is>
      </c>
    </row>
    <row r="145" ht="15.75" customHeight="1">
      <c r="B145" s="41" t="n">
        <v>139</v>
      </c>
      <c r="C145" s="42" t="inlineStr">
        <is>
          <t xml:space="preserve">  fi</t>
        </is>
      </c>
    </row>
    <row r="146" ht="15.75" customHeight="1">
      <c r="B146" s="41" t="n">
        <v>140</v>
      </c>
      <c r="C146" s="42" t="inlineStr">
        <is>
          <t xml:space="preserve">  [ "$1" = 124 ] &amp;&amp; echo "  hint: CLI timed out (server hung? long GC?). thread dump: jcmd &lt;pid&gt; Thread.print" &gt;&amp;2</t>
        </is>
      </c>
    </row>
    <row r="147" ht="15.75" customHeight="1">
      <c r="B147" s="41" t="n">
        <v>141</v>
      </c>
      <c r="C147" s="42" t="inlineStr">
        <is>
          <t xml:space="preserve">  return 0</t>
        </is>
      </c>
    </row>
    <row r="148" ht="15.75" customHeight="1">
      <c r="B148" s="41" t="n">
        <v>142</v>
      </c>
      <c r="C148" s="42" t="inlineStr">
        <is>
          <t>}</t>
        </is>
      </c>
    </row>
    <row r="149" ht="15.75" customHeight="1">
      <c r="B149" s="41" t="n">
        <v>143</v>
      </c>
      <c r="C149" s="42" t="n"/>
    </row>
    <row r="150" ht="15.75" customHeight="1">
      <c r="B150" s="41" t="n">
        <v>144</v>
      </c>
      <c r="C150" s="42" t="inlineStr">
        <is>
          <t># datasource names -&gt; JBP_NAMES ("data-source NAME" lines)</t>
        </is>
      </c>
    </row>
    <row r="151" ht="15.75" customHeight="1">
      <c r="B151" s="41" t="n">
        <v>145</v>
      </c>
      <c r="C151" s="42" t="inlineStr">
        <is>
          <t>jbp_names() {</t>
        </is>
      </c>
    </row>
    <row r="152" ht="15.75" customHeight="1">
      <c r="B152" s="41" t="n">
        <v>146</v>
      </c>
      <c r="C152" s="42" t="inlineStr">
        <is>
          <t xml:space="preserve">  printf '%s\n' 'echo JBPMARK N data-source' \</t>
        </is>
      </c>
    </row>
    <row r="153" ht="15.75" customHeight="1">
      <c r="B153" s="41" t="n">
        <v>147</v>
      </c>
      <c r="C153" s="42" t="inlineStr">
        <is>
          <t xml:space="preserve">    '/subsystem=datasources:read-children-names(child-type=data-source)' \</t>
        </is>
      </c>
    </row>
    <row r="154" ht="15.75" customHeight="1">
      <c r="B154" s="41" t="n">
        <v>148</v>
      </c>
      <c r="C154" s="42" t="inlineStr">
        <is>
          <t xml:space="preserve">    'echo JBPMARK N xa-data-source' \</t>
        </is>
      </c>
    </row>
    <row r="155" ht="15.75" customHeight="1">
      <c r="B155" s="41" t="n">
        <v>149</v>
      </c>
      <c r="C155" s="42" t="inlineStr">
        <is>
          <t xml:space="preserve">    '/subsystem=datasources:read-children-names(child-type=xa-data-source)' &gt; "$JBP_F"</t>
        </is>
      </c>
    </row>
    <row r="156" ht="15.75" customHeight="1">
      <c r="B156" s="41" t="n">
        <v>150</v>
      </c>
      <c r="C156" s="42" t="inlineStr">
        <is>
          <t xml:space="preserve">  JBP_out=$(jbp_cli "$JBP_F" 2&gt;"$JBP_E"); JBP_rc=$?</t>
        </is>
      </c>
    </row>
    <row r="157" ht="15.75" customHeight="1">
      <c r="B157" s="41" t="n">
        <v>151</v>
      </c>
      <c r="C157" s="42" t="inlineStr">
        <is>
          <t xml:space="preserve">  if [ "$JBP_rc" -ne 0 ]; then jbp_fail "$JBP_rc" "$JBP_out"; return 1; fi</t>
        </is>
      </c>
    </row>
    <row r="158" ht="15.75" customHeight="1">
      <c r="B158" s="41" t="n">
        <v>152</v>
      </c>
      <c r="C158" s="42" t="inlineStr">
        <is>
          <t xml:space="preserve">  JBP_NAMES=$(printf '%s\n' "$JBP_out" | awk '</t>
        </is>
      </c>
    </row>
    <row r="159" ht="15.75" customHeight="1">
      <c r="B159" s="41" t="n">
        <v>153</v>
      </c>
      <c r="C159" s="42" t="inlineStr">
        <is>
          <t xml:space="preserve">    /^JBPMARK N / { t = $3; r = 0; next }</t>
        </is>
      </c>
    </row>
    <row r="160" ht="15.75" customHeight="1">
      <c r="B160" s="41" t="n">
        <v>154</v>
      </c>
      <c r="C160" s="42" t="inlineStr">
        <is>
          <t xml:space="preserve">    t != "" &amp;&amp; /"result"/ { r = 1 }</t>
        </is>
      </c>
    </row>
    <row r="161" ht="15.75" customHeight="1">
      <c r="B161" s="41" t="n">
        <v>155</v>
      </c>
      <c r="C161" s="42" t="inlineStr">
        <is>
          <t xml:space="preserve">    r == 1 { s = $0; sub(/.*"result" =&gt;/, "", s)</t>
        </is>
      </c>
    </row>
    <row r="162" ht="15.75" customHeight="1">
      <c r="B162" s="41" t="n">
        <v>156</v>
      </c>
      <c r="C162" s="42" t="inlineStr">
        <is>
          <t xml:space="preserve">             while (match(s, /"[^"]*"/)) { print t, substr(s, RSTART + 1, RLENGTH - 2); s = substr(s, RSTART + RLENGTH) }</t>
        </is>
      </c>
    </row>
    <row r="163" ht="15.75" customHeight="1">
      <c r="B163" s="41" t="n">
        <v>157</v>
      </c>
      <c r="C163" s="42" t="inlineStr">
        <is>
          <t xml:space="preserve">             if ($0 ~ /]/) r = 0 }')</t>
        </is>
      </c>
    </row>
    <row r="164" ht="15.75" customHeight="1">
      <c r="B164" s="41" t="n">
        <v>158</v>
      </c>
      <c r="C164" s="42" t="inlineStr">
        <is>
          <t xml:space="preserve">  return 0</t>
        </is>
      </c>
    </row>
    <row r="165" ht="15.75" customHeight="1">
      <c r="B165" s="41" t="n">
        <v>159</v>
      </c>
      <c r="C165" s="42" t="inlineStr">
        <is>
          <t>}</t>
        </is>
      </c>
    </row>
    <row r="166" ht="15.75" customHeight="1">
      <c r="B166" s="41" t="n">
        <v>160</v>
      </c>
      <c r="C166" s="42" t="n"/>
    </row>
    <row r="167" ht="15.75" customHeight="1">
      <c r="B167" s="41" t="n">
        <v>161</v>
      </c>
      <c r="C167" s="42" t="inlineStr">
        <is>
          <t># one sample = one CLI run: root info, pool config, pool statistics, queued threads, io worker</t>
        </is>
      </c>
    </row>
    <row r="168" ht="15.75" customHeight="1">
      <c r="B168" s="41" t="n">
        <v>162</v>
      </c>
      <c r="C168" s="42" t="inlineStr">
        <is>
          <t>jbp_mkfile() {</t>
        </is>
      </c>
    </row>
    <row r="169" ht="15.75" customHeight="1">
      <c r="B169" s="41" t="n">
        <v>163</v>
      </c>
      <c r="C169" s="42" t="inlineStr">
        <is>
          <t xml:space="preserve">  {</t>
        </is>
      </c>
    </row>
    <row r="170" ht="15.75" customHeight="1">
      <c r="B170" s="41" t="n">
        <v>164</v>
      </c>
      <c r="C170" s="42" t="inlineStr">
        <is>
          <t xml:space="preserve">    echo 'echo JBPMARK ROOT'</t>
        </is>
      </c>
    </row>
    <row r="171" ht="15.75" customHeight="1">
      <c r="B171" s="41" t="n">
        <v>165</v>
      </c>
      <c r="C171" s="42" t="inlineStr">
        <is>
          <t xml:space="preserve">    echo ':read-resource(attributes-only=true,include-runtime=true)'</t>
        </is>
      </c>
    </row>
    <row r="172" ht="15.75" customHeight="1">
      <c r="B172" s="41" t="n">
        <v>166</v>
      </c>
      <c r="C172" s="42" t="inlineStr">
        <is>
          <t xml:space="preserve">    for JBP_a in jndi-name enabled statistics-enabled min-pool-size initial-pool-size max-pool-size \</t>
        </is>
      </c>
    </row>
    <row r="173" ht="15.75" customHeight="1">
      <c r="B173" s="41" t="n">
        <v>167</v>
      </c>
      <c r="C173" s="42" t="inlineStr">
        <is>
          <t xml:space="preserve">                 pool-prefill pool-use-strict-min pool-fair blocking-timeout-wait-millis idle-timeout-minutes \</t>
        </is>
      </c>
    </row>
    <row r="174" ht="15.75" customHeight="1">
      <c r="B174" s="41" t="n">
        <v>168</v>
      </c>
      <c r="C174" s="42" t="inlineStr">
        <is>
          <t xml:space="preserve">                 allocation-retry allocation-retry-wait-millis flush-strategy background-validation \</t>
        </is>
      </c>
    </row>
    <row r="175" ht="15.75" customHeight="1">
      <c r="B175" s="41" t="n">
        <v>169</v>
      </c>
      <c r="C175" s="42" t="inlineStr">
        <is>
          <t xml:space="preserve">                 background-validation-millis validate-on-match; do</t>
        </is>
      </c>
    </row>
    <row r="176" ht="15.75" customHeight="1">
      <c r="B176" s="41" t="n">
        <v>170</v>
      </c>
      <c r="C176" s="42" t="inlineStr">
        <is>
          <t xml:space="preserve">      echo "echo JBPMARK A $JBP_a"</t>
        </is>
      </c>
    </row>
    <row r="177" ht="15.75" customHeight="1">
      <c r="B177" s="41" t="n">
        <v>171</v>
      </c>
      <c r="C177" s="42" t="inlineStr">
        <is>
          <t xml:space="preserve">      for JBP_t in data-source xa-data-source; do</t>
        </is>
      </c>
    </row>
    <row r="178" ht="31.5" customHeight="1">
      <c r="B178" s="41" t="n">
        <v>172</v>
      </c>
      <c r="C178" s="42" t="inlineStr">
        <is>
          <t xml:space="preserve">        printf 'try\n/subsystem=datasources/%s=*:read-attribute(name=%s,resolve-expressions=true)\ncatch\necho JBPMARK AERR\nend-try\n' "$JBP_t" "$JBP_a"</t>
        </is>
      </c>
    </row>
    <row r="179" ht="15.75" customHeight="1">
      <c r="B179" s="41" t="n">
        <v>173</v>
      </c>
      <c r="C179" s="42" t="inlineStr">
        <is>
          <t xml:space="preserve">      done</t>
        </is>
      </c>
    </row>
    <row r="180" ht="15.75" customHeight="1">
      <c r="B180" s="41" t="n">
        <v>174</v>
      </c>
      <c r="C180" s="42" t="inlineStr">
        <is>
          <t xml:space="preserve">    done</t>
        </is>
      </c>
    </row>
    <row r="181" ht="15.75" customHeight="1">
      <c r="B181" s="41" t="n">
        <v>175</v>
      </c>
      <c r="C181" s="42" t="inlineStr">
        <is>
          <t xml:space="preserve">    echo 'echo JBPMARK STAT'</t>
        </is>
      </c>
    </row>
    <row r="182" ht="15.75" customHeight="1">
      <c r="B182" s="41" t="n">
        <v>176</v>
      </c>
      <c r="C182" s="42" t="inlineStr">
        <is>
          <t xml:space="preserve">    for JBP_t in data-source xa-data-source; do</t>
        </is>
      </c>
    </row>
    <row r="183" ht="31.5" customHeight="1">
      <c r="B183" s="41" t="n">
        <v>177</v>
      </c>
      <c r="C183" s="42" t="inlineStr">
        <is>
          <t xml:space="preserve">      printf 'try\n/subsystem=datasources/%s=*/statistics=pool:read-resource(include-runtime=true)\ncatch\necho JBPMARK SERR\nend-try\n' "$JBP_t"</t>
        </is>
      </c>
    </row>
    <row r="184" ht="15.75" customHeight="1">
      <c r="B184" s="41" t="n">
        <v>178</v>
      </c>
      <c r="C184" s="42" t="inlineStr">
        <is>
          <t xml:space="preserve">    done</t>
        </is>
      </c>
    </row>
    <row r="185" ht="15.75" customHeight="1">
      <c r="B185" s="41" t="n">
        <v>179</v>
      </c>
      <c r="C185" s="42" t="inlineStr">
        <is>
          <t xml:space="preserve">    printf '%s\n' "$JBP_NAMES" | while read -r JBP_t JBP_n; do</t>
        </is>
      </c>
    </row>
    <row r="186" ht="15.75" customHeight="1">
      <c r="B186" s="41" t="n">
        <v>180</v>
      </c>
      <c r="C186" s="42" t="inlineStr">
        <is>
          <t xml:space="preserve">      [ -n "$JBP_n" ] || continue</t>
        </is>
      </c>
    </row>
    <row r="187" ht="31.5" customHeight="1">
      <c r="B187" s="41" t="n">
        <v>181</v>
      </c>
      <c r="C187" s="42" t="inlineStr">
        <is>
          <t xml:space="preserve">      printf 'echo JBPMARK Q %s %s\ntry\n/subsystem=datasources/%s=%s:dump-queued-threads-in-pool\ncatch\necho JBPMARK QERR\nend-try\n' "$JBP_t" "$JBP_n" "$JBP_t" "$JBP_n"</t>
        </is>
      </c>
    </row>
    <row r="188" ht="15.75" customHeight="1">
      <c r="B188" s="41" t="n">
        <v>182</v>
      </c>
      <c r="C188" s="42" t="inlineStr">
        <is>
          <t xml:space="preserve">    done</t>
        </is>
      </c>
    </row>
    <row r="189" ht="31.5" customHeight="1">
      <c r="B189" s="41" t="n">
        <v>183</v>
      </c>
      <c r="C189" s="42" t="inlineStr">
        <is>
          <t xml:space="preserve">    printf 'echo JBPMARK WORKER\ntry\n/subsystem=io/worker=*:read-resource(include-runtime=true)\ncatch\necho JBPMARK WERR\nend-try\necho JBPMARK END\n'</t>
        </is>
      </c>
    </row>
    <row r="190" ht="15.75" customHeight="1">
      <c r="B190" s="41" t="n">
        <v>184</v>
      </c>
      <c r="C190" s="42" t="inlineStr">
        <is>
          <t xml:space="preserve">  } &gt; "$JBP_F"</t>
        </is>
      </c>
    </row>
    <row r="191" ht="15.75" customHeight="1">
      <c r="B191" s="41" t="n">
        <v>185</v>
      </c>
      <c r="C191" s="42" t="inlineStr">
        <is>
          <t>}</t>
        </is>
      </c>
    </row>
    <row r="192" ht="15.75" customHeight="1">
      <c r="B192" s="41" t="n">
        <v>186</v>
      </c>
      <c r="C192" s="42" t="n"/>
    </row>
    <row r="193" ht="15.75" customHeight="1">
      <c r="B193" s="41" t="n">
        <v>187</v>
      </c>
      <c r="C193" s="42" t="inlineStr">
        <is>
          <t>jbp_loop() {</t>
        </is>
      </c>
    </row>
    <row r="194" ht="15.75" customHeight="1">
      <c r="B194" s="41" t="n">
        <v>188</v>
      </c>
      <c r="C194" s="42" t="inlineStr">
        <is>
          <t xml:space="preserve">  JBP_i=0</t>
        </is>
      </c>
    </row>
    <row r="195" ht="15.75" customHeight="1">
      <c r="B195" s="41" t="n">
        <v>189</v>
      </c>
      <c r="C195" s="42" t="inlineStr">
        <is>
          <t xml:space="preserve">  while :; do</t>
        </is>
      </c>
    </row>
    <row r="196" ht="15.75" customHeight="1">
      <c r="B196" s="41" t="n">
        <v>190</v>
      </c>
      <c r="C196" s="42" t="inlineStr">
        <is>
          <t xml:space="preserve">    JBP_i=$((JBP_i + 1))</t>
        </is>
      </c>
    </row>
    <row r="197" ht="15.75" customHeight="1">
      <c r="B197" s="41" t="n">
        <v>191</v>
      </c>
      <c r="C197" s="42" t="inlineStr">
        <is>
          <t xml:space="preserve">    if [ $((JBP_i % 30)) -eq 0 ]; then jbp_names &gt;/dev/null 2&gt;&amp;1; fi</t>
        </is>
      </c>
    </row>
    <row r="198" ht="15.75" customHeight="1">
      <c r="B198" s="41" t="n">
        <v>192</v>
      </c>
      <c r="C198" s="42" t="inlineStr">
        <is>
          <t xml:space="preserve">    jbp_mkfile</t>
        </is>
      </c>
    </row>
    <row r="199" ht="15.75" customHeight="1">
      <c r="B199" s="41" t="n">
        <v>193</v>
      </c>
      <c r="C199" s="42" t="inlineStr">
        <is>
          <t xml:space="preserve">    echo "JBPMARK SAMPLE $JBP_i"</t>
        </is>
      </c>
    </row>
    <row r="200" ht="15.75" customHeight="1">
      <c r="B200" s="41" t="n">
        <v>194</v>
      </c>
      <c r="C200" s="42" t="inlineStr">
        <is>
          <t xml:space="preserve">    jbp_cli "$JBP_F" 2&gt;"$JBP_E"</t>
        </is>
      </c>
    </row>
    <row r="201" ht="15.75" customHeight="1">
      <c r="B201" s="41" t="n">
        <v>195</v>
      </c>
      <c r="C201" s="42" t="inlineStr">
        <is>
          <t xml:space="preserve">    JBP_rc=$?</t>
        </is>
      </c>
    </row>
    <row r="202" ht="15.75" customHeight="1">
      <c r="B202" s="41" t="n">
        <v>196</v>
      </c>
      <c r="C202" s="42" t="inlineStr">
        <is>
          <t xml:space="preserve">    echo "JBPMARK TIME $(date +%s)"</t>
        </is>
      </c>
    </row>
    <row r="203" ht="15.75" customHeight="1">
      <c r="B203" s="41" t="n">
        <v>197</v>
      </c>
      <c r="C203" s="42" t="inlineStr">
        <is>
          <t xml:space="preserve">    echo "JBPMARK RC $JBP_rc"</t>
        </is>
      </c>
    </row>
    <row r="204" ht="15.75" customHeight="1">
      <c r="B204" s="41" t="n">
        <v>198</v>
      </c>
      <c r="C204" s="42" t="inlineStr">
        <is>
          <t xml:space="preserve">    if [ "$JBP_rc" -ne 0 ]; then sed -n '1,12s/^/JBPMARK ERR /p' "$JBP_E"; fi</t>
        </is>
      </c>
    </row>
    <row r="205" ht="15.75" customHeight="1">
      <c r="B205" s="41" t="n">
        <v>199</v>
      </c>
      <c r="C205" s="42" t="inlineStr">
        <is>
          <t xml:space="preserve">    echo "JBPMARK DONE"</t>
        </is>
      </c>
    </row>
    <row r="206" ht="15.75" customHeight="1">
      <c r="B206" s="41" t="n">
        <v>200</v>
      </c>
      <c r="C206" s="42" t="inlineStr">
        <is>
          <t xml:space="preserve">    if [ "$JBP_CNT" -gt 0 ] &amp;&amp; [ "$JBP_i" -ge "$JBP_CNT" ]; then break; fi</t>
        </is>
      </c>
    </row>
    <row r="207" ht="15.75" customHeight="1">
      <c r="B207" s="41" t="n">
        <v>201</v>
      </c>
      <c r="C207" s="42" t="inlineStr">
        <is>
          <t xml:space="preserve">    sleep "$JBP_INT"</t>
        </is>
      </c>
    </row>
    <row r="208" ht="15.75" customHeight="1">
      <c r="B208" s="41" t="n">
        <v>202</v>
      </c>
      <c r="C208" s="42" t="inlineStr">
        <is>
          <t xml:space="preserve">  done</t>
        </is>
      </c>
    </row>
    <row r="209" ht="15.75" customHeight="1">
      <c r="B209" s="41" t="n">
        <v>203</v>
      </c>
      <c r="C209" s="42" t="inlineStr">
        <is>
          <t xml:space="preserve">  rm -f "$JBP_F" "$JBP_E"</t>
        </is>
      </c>
    </row>
    <row r="210" ht="15.75" customHeight="1">
      <c r="B210" s="41" t="n">
        <v>204</v>
      </c>
      <c r="C210" s="42" t="inlineStr">
        <is>
          <t>}</t>
        </is>
      </c>
    </row>
    <row r="211" ht="15.75" customHeight="1">
      <c r="B211" s="41" t="n">
        <v>205</v>
      </c>
      <c r="C211" s="42" t="n"/>
    </row>
    <row r="212" ht="15.75" customHeight="1">
      <c r="B212" s="41" t="n">
        <v>206</v>
      </c>
      <c r="C212" s="42" t="inlineStr">
        <is>
          <t>jbp_threads() {</t>
        </is>
      </c>
    </row>
    <row r="213" ht="15.75" customHeight="1">
      <c r="B213" s="41" t="n">
        <v>207</v>
      </c>
      <c r="C213" s="42" t="inlineStr">
        <is>
          <t xml:space="preserve">  printf '%s\n' "$JBP_NAMES" | while read -r JBP_t JBP_n; do</t>
        </is>
      </c>
    </row>
    <row r="214" ht="15.75" customHeight="1">
      <c r="B214" s="41" t="n">
        <v>208</v>
      </c>
      <c r="C214" s="42" t="inlineStr">
        <is>
          <t xml:space="preserve">    [ -n "$JBP_n" ] || continue</t>
        </is>
      </c>
    </row>
    <row r="215" ht="31.5" customHeight="1">
      <c r="B215" s="41" t="n">
        <v>209</v>
      </c>
      <c r="C215" s="42" t="inlineStr">
        <is>
          <t xml:space="preserve">    printf 'echo ===== %s %s : threads waiting for a connection =====\ntry\n/subsystem=datasources/%s=%s:dump-queued-threads-in-pool\ncatch\necho not-available\nend-try\n' "$JBP_t" "$JBP_n" "$JBP_t" "$JBP_n"</t>
        </is>
      </c>
    </row>
    <row r="216" ht="15.75" customHeight="1">
      <c r="B216" s="41" t="n">
        <v>210</v>
      </c>
      <c r="C216" s="42" t="inlineStr">
        <is>
          <t xml:space="preserve">  done &gt; "$JBP_F"</t>
        </is>
      </c>
    </row>
    <row r="217" ht="15.75" customHeight="1">
      <c r="B217" s="41" t="n">
        <v>211</v>
      </c>
      <c r="C217" s="42" t="inlineStr">
        <is>
          <t xml:space="preserve">  jbp_cli "$JBP_F" 2&gt;"$JBP_E" | awk '{ gsub(/\\n/, "\n"); gsub(/\\t/, "    "); print }'</t>
        </is>
      </c>
    </row>
    <row r="218" ht="15.75" customHeight="1">
      <c r="B218" s="41" t="n">
        <v>212</v>
      </c>
      <c r="C218" s="42" t="inlineStr">
        <is>
          <t xml:space="preserve">  rm -f "$JBP_F" "$JBP_E"</t>
        </is>
      </c>
    </row>
    <row r="219" ht="15.75" customHeight="1">
      <c r="B219" s="41" t="n">
        <v>213</v>
      </c>
      <c r="C219" s="42" t="inlineStr">
        <is>
          <t>}</t>
        </is>
      </c>
    </row>
    <row r="220" ht="15.75" customHeight="1">
      <c r="B220" s="41" t="n">
        <v>214</v>
      </c>
      <c r="C220" s="42" t="n"/>
    </row>
    <row r="221" ht="15.75" customHeight="1">
      <c r="B221" s="41" t="n">
        <v>215</v>
      </c>
      <c r="C221" s="42" t="inlineStr">
        <is>
          <t>jbp_stats() {</t>
        </is>
      </c>
    </row>
    <row r="222" ht="15.75" customHeight="1">
      <c r="B222" s="41" t="n">
        <v>216</v>
      </c>
      <c r="C222" s="42" t="inlineStr">
        <is>
          <t xml:space="preserve">  printf '%s\n' "$JBP_NAMES" | while read -r JBP_t JBP_n; do</t>
        </is>
      </c>
    </row>
    <row r="223" ht="15.75" customHeight="1">
      <c r="B223" s="41" t="n">
        <v>217</v>
      </c>
      <c r="C223" s="42" t="inlineStr">
        <is>
          <t xml:space="preserve">    [ -n "$JBP_n" ] || continue</t>
        </is>
      </c>
    </row>
    <row r="224" ht="15.75" customHeight="1">
      <c r="B224" s="41" t="n">
        <v>218</v>
      </c>
      <c r="C224" s="42" t="inlineStr">
        <is>
          <t xml:space="preserve">    for JBP_s in pool jdbc; do</t>
        </is>
      </c>
    </row>
    <row r="225" ht="31.5" customHeight="1">
      <c r="B225" s="41" t="n">
        <v>219</v>
      </c>
      <c r="C225" s="42" t="inlineStr">
        <is>
          <t xml:space="preserve">      printf 'echo %s %s statistics=%s statistics-enabled=%s\ntry\n/subsystem=datasources/%s=%s/statistics=%s:write-attribute(name=statistics-enabled,value=%s)\ncatch\necho failed\nend-try\n' \</t>
        </is>
      </c>
    </row>
    <row r="226" ht="15.75" customHeight="1">
      <c r="B226" s="41" t="n">
        <v>220</v>
      </c>
      <c r="C226" s="42" t="inlineStr">
        <is>
          <t xml:space="preserve">        "$JBP_t" "$JBP_n" "$JBP_s" "$1" "$JBP_t" "$JBP_n" "$JBP_s" "$1"</t>
        </is>
      </c>
    </row>
    <row r="227" ht="15.75" customHeight="1">
      <c r="B227" s="41" t="n">
        <v>221</v>
      </c>
      <c r="C227" s="42" t="inlineStr">
        <is>
          <t xml:space="preserve">    done</t>
        </is>
      </c>
    </row>
    <row r="228" ht="15.75" customHeight="1">
      <c r="B228" s="41" t="n">
        <v>222</v>
      </c>
      <c r="C228" s="42" t="inlineStr">
        <is>
          <t xml:space="preserve">  done &gt; "$JBP_F"</t>
        </is>
      </c>
    </row>
    <row r="229" ht="15.75" customHeight="1">
      <c r="B229" s="41" t="n">
        <v>223</v>
      </c>
      <c r="C229" s="42" t="inlineStr">
        <is>
          <t xml:space="preserve">  jbp_cli "$JBP_F" 2&gt;"$JBP_E" | grep -E 'statistics-enabled=|failed|outcome|process-state|failure-description'</t>
        </is>
      </c>
    </row>
    <row r="230" ht="15.75" customHeight="1">
      <c r="B230" s="41" t="n">
        <v>224</v>
      </c>
      <c r="C230" s="42" t="inlineStr">
        <is>
          <t xml:space="preserve">  cat "$JBP_E" &gt;&amp;2</t>
        </is>
      </c>
    </row>
    <row r="231" ht="15.75" customHeight="1">
      <c r="B231" s="41" t="n">
        <v>225</v>
      </c>
      <c r="C231" s="42" t="inlineStr">
        <is>
          <t xml:space="preserve">  rm -f "$JBP_F" "$JBP_E"</t>
        </is>
      </c>
    </row>
    <row r="232" ht="15.75" customHeight="1">
      <c r="B232" s="41" t="n">
        <v>226</v>
      </c>
      <c r="C232" s="42" t="inlineStr">
        <is>
          <t xml:space="preserve">  echo "[jbpool] runtime switch: it is lost on reload/restart. permanent: data-source attribute" &gt;&amp;2</t>
        </is>
      </c>
    </row>
    <row r="233" ht="15.75" customHeight="1">
      <c r="B233" s="41" t="n">
        <v>227</v>
      </c>
      <c r="C233" s="42" t="inlineStr">
        <is>
          <t xml:space="preserve">  echo "         statistics-enabled=true + reload, or start with -Dwildfly.datasources.statistics-enabled=true" &gt;&amp;2</t>
        </is>
      </c>
    </row>
    <row r="234" ht="15.75" customHeight="1">
      <c r="B234" s="41" t="n">
        <v>228</v>
      </c>
      <c r="C234" s="42" t="inlineStr">
        <is>
          <t xml:space="preserve">  echo "         (only if the datasource uses that expression)." &gt;&amp;2</t>
        </is>
      </c>
    </row>
    <row r="235" ht="15.75" customHeight="1">
      <c r="B235" s="41" t="n">
        <v>229</v>
      </c>
      <c r="C235" s="42" t="inlineStr">
        <is>
          <t>}</t>
        </is>
      </c>
    </row>
    <row r="236" ht="15.75" customHeight="1">
      <c r="B236" s="41" t="n">
        <v>230</v>
      </c>
      <c r="C236" s="42" t="n"/>
    </row>
    <row r="237" ht="15.75" customHeight="1">
      <c r="B237" s="41" t="n">
        <v>231</v>
      </c>
      <c r="C237" s="43" t="inlineStr">
        <is>
          <t># ---------------------------------------------------------------- PART 2/3 : renderer (awk)</t>
        </is>
      </c>
    </row>
    <row r="238" ht="15.75" customHeight="1">
      <c r="B238" s="41" t="n">
        <v>232</v>
      </c>
      <c r="C238" s="42" t="inlineStr">
        <is>
          <t>JBP_AWK='</t>
        </is>
      </c>
    </row>
    <row r="239" ht="15.75" customHeight="1">
      <c r="B239" s="41" t="n">
        <v>233</v>
      </c>
      <c r="C239" s="42" t="inlineStr">
        <is>
          <t>BEGIN {</t>
        </is>
      </c>
    </row>
    <row r="240" ht="15.75" customHeight="1">
      <c r="B240" s="41" t="n">
        <v>234</v>
      </c>
      <c r="C240" s="42" t="inlineStr">
        <is>
          <t xml:space="preserve">  s = substr(TZOFF, 1, 1); TZS = (substr(TZOFF, 2, 2) + 0) * 3600 + (substr(TZOFF, 4, 2) + 0) * 60</t>
        </is>
      </c>
    </row>
    <row r="241" ht="15.75" customHeight="1">
      <c r="B241" s="41" t="n">
        <v>235</v>
      </c>
      <c r="C241" s="42" t="inlineStr">
        <is>
          <t xml:space="preserve">  if (s == "-") TZS = -TZS</t>
        </is>
      </c>
    </row>
    <row r="242" ht="15.75" customHeight="1">
      <c r="B242" s="41" t="n">
        <v>236</v>
      </c>
      <c r="C242" s="42" t="inlineStr">
        <is>
          <t xml:space="preserve">  if (WARN == "") WARN = 80</t>
        </is>
      </c>
    </row>
    <row r="243" ht="15.75" customHeight="1">
      <c r="B243" s="41" t="n">
        <v>237</v>
      </c>
      <c r="C243" s="42" t="inlineStr">
        <is>
          <t xml:space="preserve">  MAXQ = 4; nsamp = 0; start = ""</t>
        </is>
      </c>
    </row>
    <row r="244" ht="15.75" customHeight="1">
      <c r="B244" s="41" t="n">
        <v>238</v>
      </c>
      <c r="C244" s="42" t="inlineStr">
        <is>
          <t xml:space="preserve">  LINE = "------------------------------------------------------------------------------------------"</t>
        </is>
      </c>
    </row>
    <row r="245" ht="15.75" customHeight="1">
      <c r="B245" s="41" t="n">
        <v>239</v>
      </c>
      <c r="C245" s="42" t="inlineStr">
        <is>
          <t>}</t>
        </is>
      </c>
    </row>
    <row r="246" ht="15.75" customHeight="1">
      <c r="B246" s="41" t="n">
        <v>240</v>
      </c>
      <c r="C246" s="42" t="inlineStr">
        <is>
          <t>function trim(x) { sub(/^[ \t\r]+/, "", x); sub(/[ \t\r,]+$/, "", x); return x }</t>
        </is>
      </c>
    </row>
    <row r="247" ht="15.75" customHeight="1">
      <c r="B247" s="41" t="n">
        <v>241</v>
      </c>
      <c r="C247" s="42" t="inlineStr">
        <is>
          <t>function val(x,   y) {</t>
        </is>
      </c>
    </row>
    <row r="248" ht="15.75" customHeight="1">
      <c r="B248" s="41" t="n">
        <v>242</v>
      </c>
      <c r="C248" s="42" t="inlineStr">
        <is>
          <t xml:space="preserve">  x = trim(x)</t>
        </is>
      </c>
    </row>
    <row r="249" ht="15.75" customHeight="1">
      <c r="B249" s="41" t="n">
        <v>243</v>
      </c>
      <c r="C249" s="42" t="inlineStr">
        <is>
          <t xml:space="preserve">  if (x ~ /^expression "/) { y = x; if (sub(/^.*:/, "", y) == 0) return "?"; gsub(/[}"]/, "", y); return y }</t>
        </is>
      </c>
    </row>
    <row r="250" ht="15.75" customHeight="1">
      <c r="B250" s="41" t="n">
        <v>244</v>
      </c>
      <c r="C250" s="42" t="inlineStr">
        <is>
          <t xml:space="preserve">  if (x ~ /^".*"$/) return substr(x, 2, length(x) - 2)</t>
        </is>
      </c>
    </row>
    <row r="251" ht="15.75" customHeight="1">
      <c r="B251" s="41" t="n">
        <v>245</v>
      </c>
      <c r="C251" s="42" t="inlineStr">
        <is>
          <t xml:space="preserve">  if (x ~ /^-?[0-9]+L$/) sub(/L$/, "", x)</t>
        </is>
      </c>
    </row>
    <row r="252" ht="15.75" customHeight="1">
      <c r="B252" s="41" t="n">
        <v>246</v>
      </c>
      <c r="C252" s="42" t="inlineStr">
        <is>
          <t xml:space="preserve">  return x</t>
        </is>
      </c>
    </row>
    <row r="253" ht="15.75" customHeight="1">
      <c r="B253" s="41" t="n">
        <v>247</v>
      </c>
      <c r="C253" s="42" t="inlineStr">
        <is>
          <t>}</t>
        </is>
      </c>
    </row>
    <row r="254" ht="15.75" customHeight="1">
      <c r="B254" s="41" t="n">
        <v>248</v>
      </c>
      <c r="C254" s="42" t="inlineStr">
        <is>
          <t>function nz(x, d) { return (x == "" || x == "undefined" || x == "?") ? d : x }</t>
        </is>
      </c>
    </row>
    <row r="255" ht="15.75" customHeight="1">
      <c r="B255" s="41" t="n">
        <v>249</v>
      </c>
      <c r="C255" s="42" t="inlineStr">
        <is>
          <t>function dv(d, k, def) { return (conf[d, k] == "" || conf[d, k] == "undefined") ? def "*" : conf[d, k] }</t>
        </is>
      </c>
    </row>
    <row r="256" ht="31.5" customHeight="1">
      <c r="B256" s="41" t="n">
        <v>250</v>
      </c>
      <c r="C256" s="42" t="inlineStr">
        <is>
          <t>function hms(t,   x) { x = (t + TZS) % 86400; if (x &lt; 0) x += 86400; return sprintf("%02d:%02d:%02d", int(x / 3600), int((x % 3600) / 60), x % 60) }</t>
        </is>
      </c>
    </row>
    <row r="257" ht="15.75" customHeight="1">
      <c r="B257" s="41" t="n">
        <v>251</v>
      </c>
      <c r="C257" s="42" t="inlineStr">
        <is>
          <t>function ymd(t,   z, era, doe, yoe, y, doy, mp, dd, mm) {</t>
        </is>
      </c>
    </row>
    <row r="258" ht="15.75" customHeight="1">
      <c r="B258" s="41" t="n">
        <v>252</v>
      </c>
      <c r="C258" s="42" t="inlineStr">
        <is>
          <t xml:space="preserve">  z = int((t + TZS) / 86400) + 719468; era = int(z / 146097); doe = z - era * 146097</t>
        </is>
      </c>
    </row>
    <row r="259" ht="15.75" customHeight="1">
      <c r="B259" s="41" t="n">
        <v>253</v>
      </c>
      <c r="C259" s="42" t="inlineStr">
        <is>
          <t xml:space="preserve">  yoe = int((doe - int(doe / 1460) + int(doe / 36524) - int(doe / 146096)) / 365)</t>
        </is>
      </c>
    </row>
    <row r="260" ht="15.75" customHeight="1">
      <c r="B260" s="41" t="n">
        <v>254</v>
      </c>
      <c r="C260" s="42" t="inlineStr">
        <is>
          <t xml:space="preserve">  y = yoe + era * 400; doy = doe - (365 * yoe + int(yoe / 4) - int(yoe / 100))</t>
        </is>
      </c>
    </row>
    <row r="261" ht="15.75" customHeight="1">
      <c r="B261" s="41" t="n">
        <v>255</v>
      </c>
      <c r="C261" s="42" t="inlineStr">
        <is>
          <t xml:space="preserve">  mp = int((5 * doy + 2) / 153); dd = doy - int((153 * mp + 2) / 5) + 1</t>
        </is>
      </c>
    </row>
    <row r="262" ht="15.75" customHeight="1">
      <c r="B262" s="41" t="n">
        <v>256</v>
      </c>
      <c r="C262" s="42" t="inlineStr">
        <is>
          <t xml:space="preserve">  mm = (mp &lt; 10) ? mp + 3 : mp - 9; if (mm &lt;= 2) y++</t>
        </is>
      </c>
    </row>
    <row r="263" ht="15.75" customHeight="1">
      <c r="B263" s="41" t="n">
        <v>257</v>
      </c>
      <c r="C263" s="42" t="inlineStr">
        <is>
          <t xml:space="preserve">  return sprintf("%04d-%02d-%02d", y, mm, dd)</t>
        </is>
      </c>
    </row>
    <row r="264" ht="15.75" customHeight="1">
      <c r="B264" s="41" t="n">
        <v>258</v>
      </c>
      <c r="C264" s="42" t="inlineStr">
        <is>
          <t>}</t>
        </is>
      </c>
    </row>
    <row r="265" ht="15.75" customHeight="1">
      <c r="B265" s="41" t="n">
        <v>259</v>
      </c>
      <c r="C265" s="42" t="inlineStr">
        <is>
          <t>function at(t) { return (ymd(t) == ymd(now)) ? hms(t) : ymd(t) " " hms(t) }</t>
        </is>
      </c>
    </row>
    <row r="266" ht="31.5" customHeight="1">
      <c r="B266" s="41" t="n">
        <v>260</v>
      </c>
      <c r="C266" s="42" t="inlineStr">
        <is>
          <t>function dur(x) { x = int(x); if (x &gt;= 3600) return sprintf("%dh%02dm", int(x / 3600), int((x % 3600) / 60)); if (x &gt;= 60) return sprintf("%dm%02ds", int(x / 60), x % 60); return x "s" }</t>
        </is>
      </c>
    </row>
    <row r="267" ht="15.75" customHeight="1">
      <c r="B267" s="41" t="n">
        <v>261</v>
      </c>
      <c r="C267" s="42" t="inlineStr">
        <is>
          <t>function ms(x) { x = nz(x, ""); return (x == "") ? "-" : x "ms" }</t>
        </is>
      </c>
    </row>
    <row r="268" ht="15.75" customHeight="1">
      <c r="B268" s="41" t="n">
        <v>262</v>
      </c>
      <c r="C268" s="42" t="inlineStr">
        <is>
          <t>function sd(d, k, sign) { if (R[d, "has"] == 0) return "-"; if (R[d, k] &lt; 0) return "rst"; return sign R[d, k] }</t>
        </is>
      </c>
    </row>
    <row r="269" ht="15.75" customHeight="1">
      <c r="B269" s="41" t="n">
        <v>263</v>
      </c>
      <c r="C269" s="42" t="n"/>
    </row>
    <row r="270" ht="15.75" customHeight="1">
      <c r="B270" s="41" t="n">
        <v>264</v>
      </c>
      <c r="C270" s="42" t="inlineStr">
        <is>
          <t>/^JBPMARK SAMPLE / {</t>
        </is>
      </c>
    </row>
    <row r="271" ht="15.75" customHeight="1">
      <c r="B271" s="41" t="n">
        <v>265</v>
      </c>
      <c r="C271" s="42" t="inlineStr">
        <is>
          <t xml:space="preserve">  split("", conf); split("", st); split("", root); split("", seen); split("", dtype); split("", qn); split("", qok)</t>
        </is>
      </c>
    </row>
    <row r="272" ht="15.75" customHeight="1">
      <c r="B272" s="41" t="n">
        <v>266</v>
      </c>
      <c r="C272" s="42" t="inlineStr">
        <is>
          <t xml:space="preserve">  split("", qname); split("", wk); split("", wseen); split("", errl)</t>
        </is>
      </c>
    </row>
    <row r="273" ht="15.75" customHeight="1">
      <c r="B273" s="41" t="n">
        <v>267</v>
      </c>
      <c r="C273" s="42" t="inlineStr">
        <is>
          <t xml:space="preserve">  nerr = 0; rc = 0; sec = ""; curds = ""; curw = ""; cura = ""; qds = ""; samp = $3; next</t>
        </is>
      </c>
    </row>
    <row r="274" ht="15.75" customHeight="1">
      <c r="B274" s="41" t="n">
        <v>268</v>
      </c>
      <c r="C274" s="42" t="inlineStr">
        <is>
          <t>}</t>
        </is>
      </c>
    </row>
    <row r="275" ht="15.75" customHeight="1">
      <c r="B275" s="41" t="n">
        <v>269</v>
      </c>
      <c r="C275" s="42" t="inlineStr">
        <is>
          <t>/^JBPMARK TIME / { now = $3 + 0; next }</t>
        </is>
      </c>
    </row>
    <row r="276" ht="15.75" customHeight="1">
      <c r="B276" s="41" t="n">
        <v>270</v>
      </c>
      <c r="C276" s="42" t="inlineStr">
        <is>
          <t>/^JBPMARK RC / { rc = $3 + 0; next }</t>
        </is>
      </c>
    </row>
    <row r="277" ht="15.75" customHeight="1">
      <c r="B277" s="41" t="n">
        <v>271</v>
      </c>
      <c r="C277" s="42" t="inlineStr">
        <is>
          <t>/^JBPMARK ERR / { errl[++nerr] = substr($0, 13); next }</t>
        </is>
      </c>
    </row>
    <row r="278" ht="15.75" customHeight="1">
      <c r="B278" s="41" t="n">
        <v>272</v>
      </c>
      <c r="C278" s="42" t="inlineStr">
        <is>
          <t>/^JBPMARK DONE/ { render(); next }</t>
        </is>
      </c>
    </row>
    <row r="279" ht="15.75" customHeight="1">
      <c r="B279" s="41" t="n">
        <v>273</v>
      </c>
      <c r="C279" s="42" t="inlineStr">
        <is>
          <t>/^JBPMARK ROOT/ { sec = "R"; next }</t>
        </is>
      </c>
    </row>
    <row r="280" ht="15.75" customHeight="1">
      <c r="B280" s="41" t="n">
        <v>274</v>
      </c>
      <c r="C280" s="42" t="inlineStr">
        <is>
          <t>/^JBPMARK A / { sec = "A"; cura = $3; curds = ""; next }</t>
        </is>
      </c>
    </row>
    <row r="281" ht="15.75" customHeight="1">
      <c r="B281" s="41" t="n">
        <v>275</v>
      </c>
      <c r="C281" s="42" t="inlineStr">
        <is>
          <t>/^JBPMARK STAT/ { sec = "S"; curds = ""; next }</t>
        </is>
      </c>
    </row>
    <row r="282" ht="15.75" customHeight="1">
      <c r="B282" s="41" t="n">
        <v>276</v>
      </c>
      <c r="C282" s="42" t="inlineStr">
        <is>
          <t>/^JBPMARK Q / { sec = "Q"; qds = $4; seen[qds] = 1; dtype[qds] = $3; qok[qds] = 1; qn[qds] = 0; next }</t>
        </is>
      </c>
    </row>
    <row r="283" ht="15.75" customHeight="1">
      <c r="B283" s="41" t="n">
        <v>277</v>
      </c>
      <c r="C283" s="42" t="inlineStr">
        <is>
          <t>/^JBPMARK QERR/ { qok[qds] = 0; next }</t>
        </is>
      </c>
    </row>
    <row r="284" ht="15.75" customHeight="1">
      <c r="B284" s="41" t="n">
        <v>278</v>
      </c>
      <c r="C284" s="42" t="inlineStr">
        <is>
          <t>/^JBPMARK WORKER/ { sec = "W"; curw = ""; next }</t>
        </is>
      </c>
    </row>
    <row r="285" ht="15.75" customHeight="1">
      <c r="B285" s="41" t="n">
        <v>279</v>
      </c>
      <c r="C285" s="42" t="inlineStr">
        <is>
          <t>/^JBPMARK END/ { sec = ""; next }</t>
        </is>
      </c>
    </row>
    <row r="286" ht="15.75" customHeight="1">
      <c r="B286" s="41" t="n">
        <v>280</v>
      </c>
      <c r="C286" s="42" t="inlineStr">
        <is>
          <t>/^JBPMARK / { next }</t>
        </is>
      </c>
    </row>
    <row r="287" ht="15.75" customHeight="1">
      <c r="B287" s="41" t="n">
        <v>281</v>
      </c>
      <c r="C287" s="42" t="inlineStr">
        <is>
          <t>sec == "Q" {</t>
        </is>
      </c>
    </row>
    <row r="288" ht="15.75" customHeight="1">
      <c r="B288" s="41" t="n">
        <v>282</v>
      </c>
      <c r="C288" s="42" t="inlineStr">
        <is>
          <t xml:space="preserve">  p = index($0, "Queued thread: ")</t>
        </is>
      </c>
    </row>
    <row r="289" ht="15.75" customHeight="1">
      <c r="B289" s="41" t="n">
        <v>283</v>
      </c>
      <c r="C289" s="42" t="inlineStr">
        <is>
          <t xml:space="preserve">  if (p &gt; 0) { t = substr($0, p + 15); sub(/[\\"].*$/, "", t); t = trim(t); qn[qds]++; qname[qds, qn[qds]] = t }</t>
        </is>
      </c>
    </row>
    <row r="290" ht="15.75" customHeight="1">
      <c r="B290" s="41" t="n">
        <v>284</v>
      </c>
      <c r="C290" s="42" t="inlineStr">
        <is>
          <t xml:space="preserve">  next</t>
        </is>
      </c>
    </row>
    <row r="291" ht="15.75" customHeight="1">
      <c r="B291" s="41" t="n">
        <v>285</v>
      </c>
      <c r="C291" s="42" t="inlineStr">
        <is>
          <t>}</t>
        </is>
      </c>
    </row>
    <row r="292" ht="15.75" customHeight="1">
      <c r="B292" s="41" t="n">
        <v>286</v>
      </c>
      <c r="C292" s="42" t="inlineStr">
        <is>
          <t>/\("(xa-)?data-source" =&gt; "/ {</t>
        </is>
      </c>
    </row>
    <row r="293" ht="15.75" customHeight="1">
      <c r="B293" s="41" t="n">
        <v>287</v>
      </c>
      <c r="C293" s="42" t="inlineStr">
        <is>
          <t xml:space="preserve">  if (match($0, /"(xa-)?data-source" =&gt; "[^"]*"/)) {</t>
        </is>
      </c>
    </row>
    <row r="294" ht="15.75" customHeight="1">
      <c r="B294" s="41" t="n">
        <v>288</v>
      </c>
      <c r="C294" s="42" t="inlineStr">
        <is>
          <t xml:space="preserve">    t = substr($0, RSTART, RLENGTH); dt = (t ~ /^"xa-/) ? "xa-data-source" : "data-source"</t>
        </is>
      </c>
    </row>
    <row r="295" ht="15.75" customHeight="1">
      <c r="B295" s="41" t="n">
        <v>289</v>
      </c>
      <c r="C295" s="42" t="inlineStr">
        <is>
          <t xml:space="preserve">    sub(/^[^&gt;]*&gt; "/, "", t); sub(/"$/, "", t); curds = t; seen[t] = 1; dtype[t] = dt</t>
        </is>
      </c>
    </row>
    <row r="296" ht="15.75" customHeight="1">
      <c r="B296" s="41" t="n">
        <v>290</v>
      </c>
      <c r="C296" s="42" t="inlineStr">
        <is>
          <t xml:space="preserve">  }</t>
        </is>
      </c>
    </row>
    <row r="297" ht="15.75" customHeight="1">
      <c r="B297" s="41" t="n">
        <v>291</v>
      </c>
      <c r="C297" s="42" t="inlineStr">
        <is>
          <t xml:space="preserve">  next</t>
        </is>
      </c>
    </row>
    <row r="298" ht="15.75" customHeight="1">
      <c r="B298" s="41" t="n">
        <v>292</v>
      </c>
      <c r="C298" s="42" t="inlineStr">
        <is>
          <t>}</t>
        </is>
      </c>
    </row>
    <row r="299" ht="15.75" customHeight="1">
      <c r="B299" s="41" t="n">
        <v>293</v>
      </c>
      <c r="C299" s="42" t="inlineStr">
        <is>
          <t>/\("worker" =&gt; "/ {</t>
        </is>
      </c>
    </row>
    <row r="300" ht="31.5" customHeight="1">
      <c r="B300" s="41" t="n">
        <v>294</v>
      </c>
      <c r="C300" s="42" t="inlineStr">
        <is>
          <t xml:space="preserve">  if (match($0, /"worker" =&gt; "[^"]*"/)) { t = substr($0, RSTART, RLENGTH); sub(/^[^&gt;]*&gt; "/, "", t); sub(/"$/, "", t); curw = t; wseen[t] = 1 }</t>
        </is>
      </c>
    </row>
    <row r="301" ht="15.75" customHeight="1">
      <c r="B301" s="41" t="n">
        <v>295</v>
      </c>
      <c r="C301" s="42" t="inlineStr">
        <is>
          <t xml:space="preserve">  next</t>
        </is>
      </c>
    </row>
    <row r="302" ht="15.75" customHeight="1">
      <c r="B302" s="41" t="n">
        <v>296</v>
      </c>
      <c r="C302" s="42" t="inlineStr">
        <is>
          <t>}</t>
        </is>
      </c>
    </row>
    <row r="303" ht="15.75" customHeight="1">
      <c r="B303" s="41" t="n">
        <v>297</v>
      </c>
      <c r="C303" s="42" t="inlineStr">
        <is>
          <t>/^[ \t]*"[A-Za-z][A-Za-z0-9._-]*" =&gt; / {</t>
        </is>
      </c>
    </row>
    <row r="304" ht="15.75" customHeight="1">
      <c r="B304" s="41" t="n">
        <v>298</v>
      </c>
      <c r="C304" s="42" t="inlineStr">
        <is>
          <t xml:space="preserve">  k = $0; sub(/^[ \t]*"/, "", k); sub(/".*$/, "", k)</t>
        </is>
      </c>
    </row>
    <row r="305" ht="15.75" customHeight="1">
      <c r="B305" s="41" t="n">
        <v>299</v>
      </c>
      <c r="C305" s="42" t="inlineStr">
        <is>
          <t xml:space="preserve">  v = $0; sub(/^[^&gt;]*=&gt; /, "", v); v = val(v)</t>
        </is>
      </c>
    </row>
    <row r="306" ht="15.75" customHeight="1">
      <c r="B306" s="41" t="n">
        <v>300</v>
      </c>
      <c r="C306" s="42" t="inlineStr">
        <is>
          <t xml:space="preserve">  if (sec == "A") { if (k == "result" &amp;&amp; curds != "" &amp;&amp; v != "" &amp;&amp; (v ~ /^[\[{]/) == 0) conf[curds, cura] = v }</t>
        </is>
      </c>
    </row>
    <row r="307" ht="15.75" customHeight="1">
      <c r="B307" s="41" t="n">
        <v>301</v>
      </c>
      <c r="C307" s="42" t="inlineStr">
        <is>
          <t xml:space="preserve">  else if (sec == "S") { if (curds != "") st[curds, k] = v }</t>
        </is>
      </c>
    </row>
    <row r="308" ht="15.75" customHeight="1">
      <c r="B308" s="41" t="n">
        <v>302</v>
      </c>
      <c r="C308" s="42" t="inlineStr">
        <is>
          <t xml:space="preserve">  else if (sec == "R") root[k] = v</t>
        </is>
      </c>
    </row>
    <row r="309" ht="15.75" customHeight="1">
      <c r="B309" s="41" t="n">
        <v>303</v>
      </c>
      <c r="C309" s="42" t="inlineStr">
        <is>
          <t xml:space="preserve">  else if (sec == "W") { if (curw != "") wk[curw, k] = v }</t>
        </is>
      </c>
    </row>
    <row r="310" ht="15.75" customHeight="1">
      <c r="B310" s="41" t="n">
        <v>304</v>
      </c>
      <c r="C310" s="42" t="inlineStr">
        <is>
          <t xml:space="preserve">  next</t>
        </is>
      </c>
    </row>
    <row r="311" ht="15.75" customHeight="1">
      <c r="B311" s="41" t="n">
        <v>305</v>
      </c>
      <c r="C311" s="42" t="inlineStr">
        <is>
          <t>}</t>
        </is>
      </c>
    </row>
    <row r="312" ht="15.75" customHeight="1">
      <c r="B312" s="41" t="n">
        <v>306</v>
      </c>
      <c r="C312" s="42" t="n"/>
    </row>
    <row r="313" ht="31.5" customHeight="1">
      <c r="B313" s="41" t="n">
        <v>307</v>
      </c>
      <c r="C313" s="42" t="inlineStr">
        <is>
          <t>function calc(d,   mn, mx, bt, it, ar, arw, wl, son, act, use, idl, cr, de, to, wc, bf, q, j, k, n, ord, tj, tmin, tmax, unk, fl, ex, del, nd, parts, tx, st2) {</t>
        </is>
      </c>
    </row>
    <row r="314" ht="15.75" customHeight="1">
      <c r="B314" s="41" t="n">
        <v>308</v>
      </c>
      <c r="C314" s="42" t="inlineStr">
        <is>
          <t xml:space="preserve">  mn = nz(conf[d, "min-pool-size"], 0) + 0;   mx = nz(conf[d, "max-pool-size"], 20) + 0</t>
        </is>
      </c>
    </row>
    <row r="315" ht="15.75" customHeight="1">
      <c r="B315" s="41" t="n">
        <v>309</v>
      </c>
      <c r="C315" s="42" t="inlineStr">
        <is>
          <t xml:space="preserve">  bt = nz(conf[d, "blocking-timeout-wait-millis"], 30000) + 0;   it = nz(conf[d, "idle-timeout-minutes"], 30) + 0</t>
        </is>
      </c>
    </row>
    <row r="316" ht="15.75" customHeight="1">
      <c r="B316" s="41" t="n">
        <v>310</v>
      </c>
      <c r="C316" s="42" t="inlineStr">
        <is>
          <t xml:space="preserve">  ar = nz(conf[d, "allocation-retry"], 0) + 0;   arw = nz(conf[d, "allocation-retry-wait-millis"], 0) + 0</t>
        </is>
      </c>
    </row>
    <row r="317" ht="15.75" customHeight="1">
      <c r="B317" s="41" t="n">
        <v>311</v>
      </c>
      <c r="C317" s="42" t="inlineStr">
        <is>
          <t xml:space="preserve">  wl = bt * (ar + 1) + arw * ar</t>
        </is>
      </c>
    </row>
    <row r="318" ht="15.75" customHeight="1">
      <c r="B318" s="41" t="n">
        <v>312</v>
      </c>
      <c r="C318" s="42" t="inlineStr">
        <is>
          <t xml:space="preserve">  R[d, "mn"] = mn; R[d, "mx"] = mx; R[d, "bt"] = bt; R[d, "it"] = it; R[d, "ar"] = ar; R[d, "arw"] = arw; R[d, "wl"] = wl</t>
        </is>
      </c>
    </row>
    <row r="319" ht="15.75" customHeight="1">
      <c r="B319" s="41" t="n">
        <v>313</v>
      </c>
      <c r="C319" s="42" t="inlineStr">
        <is>
          <t xml:space="preserve">  son = st[d, "statistics-enabled"]; if (son == "") son = conf[d, "statistics-enabled"]; R[d, "son"] = son</t>
        </is>
      </c>
    </row>
    <row r="320" ht="15.75" customHeight="1">
      <c r="B320" s="41" t="n">
        <v>314</v>
      </c>
      <c r="C320" s="42" t="inlineStr">
        <is>
          <t xml:space="preserve">  act = nz(st[d, "ActiveCount"], 0) + 0; use = nz(st[d, "InUseCount"], 0) + 0</t>
        </is>
      </c>
    </row>
    <row r="321" ht="15.75" customHeight="1">
      <c r="B321" s="41" t="n">
        <v>315</v>
      </c>
      <c r="C321" s="42" t="inlineStr">
        <is>
          <t xml:space="preserve">  idl = nz(st[d, "IdleCount"], act - use) + 0; R[d, "neg"] = 0</t>
        </is>
      </c>
    </row>
    <row r="322" ht="15.75" customHeight="1">
      <c r="B322" s="41" t="n">
        <v>316</v>
      </c>
      <c r="C322" s="42" t="inlineStr">
        <is>
          <t xml:space="preserve">  if (act &lt; 0 || act &lt; use) { R[d, "neg"] = 1; act = use + idl }</t>
        </is>
      </c>
    </row>
    <row r="323" ht="15.75" customHeight="1">
      <c r="B323" s="41" t="n">
        <v>317</v>
      </c>
      <c r="C323" s="42" t="inlineStr">
        <is>
          <t xml:space="preserve">  R[d, "act"] = act; R[d, "use"] = use; R[d, "idl"] = idl; R[d, "avl"] = nz(st[d, "AvailableCount"], mx - use) + 0</t>
        </is>
      </c>
    </row>
    <row r="324" ht="15.75" customHeight="1">
      <c r="B324" s="41" t="n">
        <v>318</v>
      </c>
      <c r="C324" s="42" t="inlineStr">
        <is>
          <t xml:space="preserve">  R[d, "pct"] = (mx &gt; 0) ? int(use * 100 / mx) : 0</t>
        </is>
      </c>
    </row>
    <row r="325" ht="15.75" customHeight="1">
      <c r="B325" s="41" t="n">
        <v>319</v>
      </c>
      <c r="C325" s="42" t="inlineStr">
        <is>
          <t xml:space="preserve">  cr = nz(st[d, "CreatedCount"], 0) + 0; de = nz(st[d, "DestroyedCount"], 0) + 0; to = nz(st[d, "TimedOut"], 0) + 0</t>
        </is>
      </c>
    </row>
    <row r="326" ht="15.75" customHeight="1">
      <c r="B326" s="41" t="n">
        <v>320</v>
      </c>
      <c r="C326" s="42" t="inlineStr">
        <is>
          <t xml:space="preserve">  wc = nz(st[d, "WaitCount"], 0) + 0;    bf = nz(st[d, "BlockingFailureCount"], 0) + 0</t>
        </is>
      </c>
    </row>
    <row r="327" ht="15.75" customHeight="1">
      <c r="B327" s="41" t="n">
        <v>321</v>
      </c>
      <c r="C327" s="42" t="inlineStr">
        <is>
          <t xml:space="preserve">  R[d, "cr"] = cr; R[d, "de"] = de; R[d, "to"] = to; R[d, "wc"] = wc; R[d, "bf"] = bf</t>
        </is>
      </c>
    </row>
    <row r="328" ht="15.75" customHeight="1">
      <c r="B328" s="41" t="n">
        <v>322</v>
      </c>
      <c r="C328" s="42" t="inlineStr">
        <is>
          <t xml:space="preserve">  R[d, "mxu"] = nz(st[d, "MaxUsedCount"], 0) + 0; R[d, "mwc"] = nz(st[d, "MaxWaitCount"], 0) + 0</t>
        </is>
      </c>
    </row>
    <row r="329" ht="15.75" customHeight="1">
      <c r="B329" s="41" t="n">
        <v>323</v>
      </c>
      <c r="C329" s="42" t="inlineStr">
        <is>
          <t xml:space="preserve">  if (d in pcr) {</t>
        </is>
      </c>
    </row>
    <row r="330" ht="15.75" customHeight="1">
      <c r="B330" s="41" t="n">
        <v>324</v>
      </c>
      <c r="C330" s="42" t="inlineStr">
        <is>
          <t xml:space="preserve">    R[d, "has"] = 1; R[d, "dcr"] = cr - pcr[d]; R[d, "dde"] = de - pde[d]; R[d, "dto"] = to - pto[d]</t>
        </is>
      </c>
    </row>
    <row r="331" ht="15.75" customHeight="1">
      <c r="B331" s="41" t="n">
        <v>325</v>
      </c>
      <c r="C331" s="42" t="inlineStr">
        <is>
          <t xml:space="preserve">    R[d, "dwc"] = wc - pwc[d]; R[d, "dbf"] = bf - pbf[d]; R[d, "pact"] = pact[d]</t>
        </is>
      </c>
    </row>
    <row r="332" ht="15.75" customHeight="1">
      <c r="B332" s="41" t="n">
        <v>326</v>
      </c>
      <c r="C332" s="42" t="inlineStr">
        <is>
          <t xml:space="preserve">  } else R[d, "has"] = 0</t>
        </is>
      </c>
    </row>
    <row r="333" ht="15.75" customHeight="1">
      <c r="B333" s="41" t="n">
        <v>327</v>
      </c>
      <c r="C333" s="42" t="inlineStr">
        <is>
          <t xml:space="preserve">  pcr[d] = cr; pde[d] = de; pto[d] = to; pwc[d] = wc; pbf[d] = bf; pact[d] = act</t>
        </is>
      </c>
    </row>
    <row r="334" ht="15.75" customHeight="1">
      <c r="B334" s="41" t="n">
        <v>328</v>
      </c>
      <c r="C334" s="42" t="inlineStr">
        <is>
          <t xml:space="preserve">  # ---- queued threads: first-seen time + wait limit = latest time it is resolved</t>
        </is>
      </c>
    </row>
    <row r="335" ht="15.75" customHeight="1">
      <c r="B335" s="41" t="n">
        <v>329</v>
      </c>
      <c r="C335" s="42" t="inlineStr">
        <is>
          <t xml:space="preserve">  q = (d in qok) ? ((qok[d] == 1) ? qn[d] + 0 : -1) : -1</t>
        </is>
      </c>
    </row>
    <row r="336" ht="15.75" customHeight="1">
      <c r="B336" s="41" t="n">
        <v>330</v>
      </c>
      <c r="C336" s="42" t="inlineStr">
        <is>
          <t xml:space="preserve">  split("", qcur)</t>
        </is>
      </c>
    </row>
    <row r="337" ht="15.75" customHeight="1">
      <c r="B337" s="41" t="n">
        <v>331</v>
      </c>
      <c r="C337" s="42" t="inlineStr">
        <is>
          <t xml:space="preserve">  for (j = 1; j &lt;= qn[d]; j++) {</t>
        </is>
      </c>
    </row>
    <row r="338" ht="15.75" customHeight="1">
      <c r="B338" s="41" t="n">
        <v>332</v>
      </c>
      <c r="C338" s="42" t="inlineStr">
        <is>
          <t xml:space="preserve">    k = d SUBSEP qname[d, j]; qcur[k] = 1</t>
        </is>
      </c>
    </row>
    <row r="339" ht="15.75" customHeight="1">
      <c r="B339" s="41" t="n">
        <v>333</v>
      </c>
      <c r="C339" s="42" t="inlineStr">
        <is>
          <t xml:space="preserve">    if ((k in qfs) == 0 || now &gt; qfs[k] + wl / 1000 + 5) qfs[k] = now</t>
        </is>
      </c>
    </row>
    <row r="340" ht="15.75" customHeight="1">
      <c r="B340" s="41" t="n">
        <v>334</v>
      </c>
      <c r="C340" s="42" t="inlineStr">
        <is>
          <t xml:space="preserve">  }</t>
        </is>
      </c>
    </row>
    <row r="341" ht="15.75" customHeight="1">
      <c r="B341" s="41" t="n">
        <v>335</v>
      </c>
      <c r="C341" s="42" t="inlineStr">
        <is>
          <t xml:space="preserve">  nd = 0; for (k in qfs) { split(k, parts, SUBSEP); if (parts[1] == d &amp;&amp; (k in qcur) == 0) del[++nd] = k }</t>
        </is>
      </c>
    </row>
    <row r="342" ht="15.75" customHeight="1">
      <c r="B342" s="41" t="n">
        <v>336</v>
      </c>
      <c r="C342" s="42" t="inlineStr">
        <is>
          <t xml:space="preserve">  for (j = 1; j &lt;= nd; j++) delete qfs[del[j]]</t>
        </is>
      </c>
    </row>
    <row r="343" ht="15.75" customHeight="1">
      <c r="B343" s="41" t="n">
        <v>337</v>
      </c>
      <c r="C343" s="42" t="inlineStr">
        <is>
          <t xml:space="preserve">  n = 0; for (k in qcur) { n++; ord[n] = k }</t>
        </is>
      </c>
    </row>
    <row r="344" ht="31.5" customHeight="1">
      <c r="B344" s="41" t="n">
        <v>338</v>
      </c>
      <c r="C344" s="42" t="inlineStr">
        <is>
          <t xml:space="preserve">  for (j = 2; j &lt;= n; j++) { k = ord[j]; tj = j - 1; while (tj &gt; 0 &amp;&amp; qfs[ord[tj]] &gt; qfs[k]) { ord[tj + 1] = ord[tj]; tj-- }; ord[tj + 1] = k }</t>
        </is>
      </c>
    </row>
    <row r="345" ht="15.75" customHeight="1">
      <c r="B345" s="41" t="n">
        <v>339</v>
      </c>
      <c r="C345" s="42" t="inlineStr">
        <is>
          <t xml:space="preserve">  tx = ""; R[d, "qby"] = 0</t>
        </is>
      </c>
    </row>
    <row r="346" ht="15.75" customHeight="1">
      <c r="B346" s="41" t="n">
        <v>340</v>
      </c>
      <c r="C346" s="42" t="inlineStr">
        <is>
          <t xml:space="preserve">  for (j = 1; j &lt;= n; j++) {</t>
        </is>
      </c>
    </row>
    <row r="347" ht="15.75" customHeight="1">
      <c r="B347" s="41" t="n">
        <v>341</v>
      </c>
      <c r="C347" s="42" t="inlineStr">
        <is>
          <t xml:space="preserve">    split(ord[j], parts, SUBSEP)</t>
        </is>
      </c>
    </row>
    <row r="348" ht="15.75" customHeight="1">
      <c r="B348" s="41" t="n">
        <v>342</v>
      </c>
      <c r="C348" s="42" t="inlineStr">
        <is>
          <t xml:space="preserve">    if (j &lt;= MAXQ) tx = tx ((j &gt; 1) ? ", " : "") parts[2] " (&lt;=" hms(qfs[ord[j]] + wl / 1000) ")"</t>
        </is>
      </c>
    </row>
    <row r="349" ht="15.75" customHeight="1">
      <c r="B349" s="41" t="n">
        <v>343</v>
      </c>
      <c r="C349" s="42" t="inlineStr">
        <is>
          <t xml:space="preserve">    if (qfs[ord[j]] + wl / 1000 &gt; R[d, "qby"]) R[d, "qby"] = qfs[ord[j]] + wl / 1000</t>
        </is>
      </c>
    </row>
    <row r="350" ht="15.75" customHeight="1">
      <c r="B350" s="41" t="n">
        <v>344</v>
      </c>
      <c r="C350" s="42" t="inlineStr">
        <is>
          <t xml:space="preserve">  }</t>
        </is>
      </c>
    </row>
    <row r="351" ht="15.75" customHeight="1">
      <c r="B351" s="41" t="n">
        <v>345</v>
      </c>
      <c r="C351" s="42" t="inlineStr">
        <is>
          <t xml:space="preserve">  if (n &gt; MAXQ) tx = tx ", ... +" (n - MAXQ) " more"</t>
        </is>
      </c>
    </row>
    <row r="352" ht="15.75" customHeight="1">
      <c r="B352" s="41" t="n">
        <v>346</v>
      </c>
      <c r="C352" s="42" t="inlineStr">
        <is>
          <t xml:space="preserve">  R[d, "q"] = q; R[d, "qtxt"] = tx</t>
        </is>
      </c>
    </row>
    <row r="353" ht="15.75" customHeight="1">
      <c r="B353" s="41" t="n">
        <v>347</v>
      </c>
      <c r="C353" s="42" t="inlineStr">
        <is>
          <t xml:space="preserve">  # ---- idle surplus: the pool re-uses the newest connection first (LIFO), so "level j"</t>
        </is>
      </c>
    </row>
    <row r="354" ht="15.75" customHeight="1">
      <c r="B354" s="41" t="n">
        <v>348</v>
      </c>
      <c r="C354" s="42" t="inlineStr">
        <is>
          <t xml:space="preserve">  #      was last used when in-use &gt;= j (lal) and returned before it was seen free (fre).</t>
        </is>
      </c>
    </row>
    <row r="355" ht="15.75" customHeight="1">
      <c r="B355" s="41" t="n">
        <v>349</v>
      </c>
      <c r="C355" s="42" t="inlineStr">
        <is>
          <t xml:space="preserve">  #      TotalUsageTime grows on every return -&gt; also catches returns between two samples.</t>
        </is>
      </c>
    </row>
    <row r="356" ht="15.75" customHeight="1">
      <c r="B356" s="41" t="n">
        <v>350</v>
      </c>
      <c r="C356" s="42" t="inlineStr">
        <is>
          <t xml:space="preserve">  if ((d in t0) == 0) t0[d] = now</t>
        </is>
      </c>
    </row>
    <row r="357" ht="15.75" customHeight="1">
      <c r="B357" s="41" t="n">
        <v>351</v>
      </c>
      <c r="C357" s="42" t="inlineStr">
        <is>
          <t xml:space="preserve">  tx = nz(st[d, "TotalUsageTime"], "")</t>
        </is>
      </c>
    </row>
    <row r="358" ht="15.75" customHeight="1">
      <c r="B358" s="41" t="n">
        <v>352</v>
      </c>
      <c r="C358" s="42" t="inlineStr">
        <is>
          <t xml:space="preserve">  if (tx != "" &amp;&amp; (d in ptu) &amp;&amp; tx + 0 != ptu[d]) actt[d] = now</t>
        </is>
      </c>
    </row>
    <row r="359" ht="15.75" customHeight="1">
      <c r="B359" s="41" t="n">
        <v>353</v>
      </c>
      <c r="C359" s="42" t="inlineStr">
        <is>
          <t xml:space="preserve">  if (tx != "") ptu[d] = tx + 0</t>
        </is>
      </c>
    </row>
    <row r="360" ht="15.75" customHeight="1">
      <c r="B360" s="41" t="n">
        <v>354</v>
      </c>
      <c r="C360" s="42" t="inlineStr">
        <is>
          <t xml:space="preserve">  for (j = 1; j &lt;= use; j++) { lal[d, j] = now; if ((d, j) in fre) delete fre[d, j] }</t>
        </is>
      </c>
    </row>
    <row r="361" ht="15.75" customHeight="1">
      <c r="B361" s="41" t="n">
        <v>355</v>
      </c>
      <c r="C361" s="42" t="inlineStr">
        <is>
          <t xml:space="preserve">  for (j = use + 1; j &lt;= act; j++) if (((d, j) in lal) &amp;&amp; (((d, j) in fre) == 0)) fre[d, j] = now</t>
        </is>
      </c>
    </row>
    <row r="362" ht="15.75" customHeight="1">
      <c r="B362" s="41" t="n">
        <v>356</v>
      </c>
      <c r="C362" s="42" t="inlineStr">
        <is>
          <t xml:space="preserve">  nd = 0; for (k in lal) { split(k, parts, SUBSEP); if (parts[1] == d &amp;&amp; parts[2] + 0 &gt; act) del[++nd] = k }</t>
        </is>
      </c>
    </row>
    <row r="363" ht="15.75" customHeight="1">
      <c r="B363" s="41" t="n">
        <v>357</v>
      </c>
      <c r="C363" s="42" t="inlineStr">
        <is>
          <t xml:space="preserve">  for (j = 1; j &lt;= nd; j++) { delete lal[del[j]]; if (del[j] in fre) delete fre[del[j]] }</t>
        </is>
      </c>
    </row>
    <row r="364" ht="15.75" customHeight="1">
      <c r="B364" s="41" t="n">
        <v>358</v>
      </c>
      <c r="C364" s="42" t="inlineStr">
        <is>
          <t xml:space="preserve">  # min-pool-size is kept only with pool-prefill or pool-use-strict-min (otherwise idle-timeout can go to 0)</t>
        </is>
      </c>
    </row>
    <row r="365" ht="15.75" customHeight="1">
      <c r="B365" s="41" t="n">
        <v>359</v>
      </c>
      <c r="C365" s="42" t="inlineStr">
        <is>
          <t xml:space="preserve">  R[d, "keepmin"] = (conf[d, "pool-prefill"] == "true" || conf[d, "pool-use-strict-min"] == "true") ? 1 : 0</t>
        </is>
      </c>
    </row>
    <row r="366" ht="15.75" customHeight="1">
      <c r="B366" s="41" t="n">
        <v>360</v>
      </c>
      <c r="C366" s="42" t="inlineStr">
        <is>
          <t xml:space="preserve">  fl = (R[d, "keepmin"] == 1 &amp;&amp; mn &gt; use) ? mn : use; ex = act - fl; if (ex &lt; 0) ex = 0</t>
        </is>
      </c>
    </row>
    <row r="367" ht="15.75" customHeight="1">
      <c r="B367" s="41" t="n">
        <v>361</v>
      </c>
      <c r="C367" s="42" t="inlineStr">
        <is>
          <t xml:space="preserve">  R[d, "fl"] = fl; R[d, "ex"] = ex; R[d, "e1"] = ""; R[d, "e2"] = ""; R[d, "unk"] = 0</t>
        </is>
      </c>
    </row>
    <row r="368" ht="15.75" customHeight="1">
      <c r="B368" s="41" t="n">
        <v>362</v>
      </c>
      <c r="C368" s="42" t="inlineStr">
        <is>
          <t xml:space="preserve">  if (ex &gt; 0 &amp;&amp; it &gt; 0 &amp;&amp; son == "true") {</t>
        </is>
      </c>
    </row>
    <row r="369" ht="15.75" customHeight="1">
      <c r="B369" s="41" t="n">
        <v>363</v>
      </c>
      <c r="C369" s="42" t="inlineStr">
        <is>
          <t xml:space="preserve">    tmin = -1; tmax = t0[d]; unk = 0</t>
        </is>
      </c>
    </row>
    <row r="370" ht="15.75" customHeight="1">
      <c r="B370" s="41" t="n">
        <v>364</v>
      </c>
      <c r="C370" s="42" t="inlineStr">
        <is>
          <t xml:space="preserve">    for (j = fl + 1; j &lt;= act; j++) {</t>
        </is>
      </c>
    </row>
    <row r="371" ht="15.75" customHeight="1">
      <c r="B371" s="41" t="n">
        <v>365</v>
      </c>
      <c r="C371" s="42" t="inlineStr">
        <is>
          <t xml:space="preserve">      if ((d, j) in lal) {</t>
        </is>
      </c>
    </row>
    <row r="372" ht="15.75" customHeight="1">
      <c r="B372" s="41" t="n">
        <v>366</v>
      </c>
      <c r="C372" s="42" t="inlineStr">
        <is>
          <t xml:space="preserve">        if (tmin &lt; 0 || lal[d, j] &lt; tmin) tmin = lal[d, j]</t>
        </is>
      </c>
    </row>
    <row r="373" ht="15.75" customHeight="1">
      <c r="B373" s="41" t="n">
        <v>367</v>
      </c>
      <c r="C373" s="42" t="inlineStr">
        <is>
          <t xml:space="preserve">        tj = ((d, j) in fre) ? fre[d, j] : now; if (tj &gt; tmax) tmax = tj</t>
        </is>
      </c>
    </row>
    <row r="374" ht="15.75" customHeight="1">
      <c r="B374" s="41" t="n">
        <v>368</v>
      </c>
      <c r="C374" s="42" t="inlineStr">
        <is>
          <t xml:space="preserve">      } else unk++</t>
        </is>
      </c>
    </row>
    <row r="375" ht="15.75" customHeight="1">
      <c r="B375" s="41" t="n">
        <v>369</v>
      </c>
      <c r="C375" s="42" t="inlineStr">
        <is>
          <t xml:space="preserve">    }</t>
        </is>
      </c>
    </row>
    <row r="376" ht="15.75" customHeight="1">
      <c r="B376" s="41" t="n">
        <v>370</v>
      </c>
      <c r="C376" s="42" t="inlineStr">
        <is>
          <t xml:space="preserve">    if ((d in actt) &amp;&amp; actt[d] &gt; tmax) tmax = actt[d]</t>
        </is>
      </c>
    </row>
    <row r="377" ht="15.75" customHeight="1">
      <c r="B377" s="41" t="n">
        <v>371</v>
      </c>
      <c r="C377" s="42" t="inlineStr">
        <is>
          <t xml:space="preserve">    R[d, "e1"] = (tmin &lt; 0) ? "" : tmin + it * 60; R[d, "e2"] = tmax + it * 60 + CHK; R[d, "unk"] = unk</t>
        </is>
      </c>
    </row>
    <row r="378" ht="15.75" customHeight="1">
      <c r="B378" s="41" t="n">
        <v>372</v>
      </c>
      <c r="C378" s="42" t="inlineStr">
        <is>
          <t xml:space="preserve">  }</t>
        </is>
      </c>
    </row>
    <row r="379" ht="15.75" customHeight="1">
      <c r="B379" s="41" t="n">
        <v>373</v>
      </c>
      <c r="C379" s="42" t="inlineStr">
        <is>
          <t xml:space="preserve">  # ---- status</t>
        </is>
      </c>
    </row>
    <row r="380" ht="15.75" customHeight="1">
      <c r="B380" s="41" t="n">
        <v>374</v>
      </c>
      <c r="C380" s="42" t="inlineStr">
        <is>
          <t xml:space="preserve">  if (conf[d, "enabled"] == "false") st2 = "DISABLED"</t>
        </is>
      </c>
    </row>
    <row r="381" ht="15.75" customHeight="1">
      <c r="B381" s="41" t="n">
        <v>375</v>
      </c>
      <c r="C381" s="42" t="inlineStr">
        <is>
          <t xml:space="preserve">  else if (son != "true") st2 = "STATS-OFF"</t>
        </is>
      </c>
    </row>
    <row r="382" ht="15.75" customHeight="1">
      <c r="B382" s="41" t="n">
        <v>376</v>
      </c>
      <c r="C382" s="42" t="inlineStr">
        <is>
          <t xml:space="preserve">  else if (q &gt; 0) st2 = "OVERFLOW"</t>
        </is>
      </c>
    </row>
    <row r="383" ht="15.75" customHeight="1">
      <c r="B383" s="41" t="n">
        <v>377</v>
      </c>
      <c r="C383" s="42" t="inlineStr">
        <is>
          <t xml:space="preserve">  else if (mx &gt; 0 &amp;&amp; use &gt;= mx) st2 = "FULL"</t>
        </is>
      </c>
    </row>
    <row r="384" ht="15.75" customHeight="1">
      <c r="B384" s="41" t="n">
        <v>378</v>
      </c>
      <c r="C384" s="42" t="inlineStr">
        <is>
          <t xml:space="preserve">  else if (mx &gt; 0 &amp;&amp; use * 100 &gt;= WARN * mx) st2 = "BUSY"</t>
        </is>
      </c>
    </row>
    <row r="385" ht="15.75" customHeight="1">
      <c r="B385" s="41" t="n">
        <v>379</v>
      </c>
      <c r="C385" s="42" t="inlineStr">
        <is>
          <t xml:space="preserve">  else st2 = "OK"</t>
        </is>
      </c>
    </row>
    <row r="386" ht="15.75" customHeight="1">
      <c r="B386" s="41" t="n">
        <v>380</v>
      </c>
      <c r="C386" s="42" t="inlineStr">
        <is>
          <t xml:space="preserve">  if (R[d, "has"] == 1 &amp;&amp; R[d, "dbf"] &gt; 0) st2 = st2 "+TMOUT"</t>
        </is>
      </c>
    </row>
    <row r="387" ht="15.75" customHeight="1">
      <c r="B387" s="41" t="n">
        <v>381</v>
      </c>
      <c r="C387" s="42" t="inlineStr">
        <is>
          <t xml:space="preserve">  R[d, "status"] = st2</t>
        </is>
      </c>
    </row>
    <row r="388" ht="15.75" customHeight="1">
      <c r="B388" s="41" t="n">
        <v>382</v>
      </c>
      <c r="C388" s="42" t="inlineStr">
        <is>
          <t>}</t>
        </is>
      </c>
    </row>
    <row r="389" ht="15.75" customHeight="1">
      <c r="B389" s="41" t="n">
        <v>383</v>
      </c>
      <c r="C389" s="42" t="n"/>
    </row>
    <row r="390" ht="15.75" customHeight="1">
      <c r="B390" s="41" t="n">
        <v>384</v>
      </c>
      <c r="C390" s="42" t="inlineStr">
        <is>
          <t>function render(   n, i, j, d, nm, minit, it) {</t>
        </is>
      </c>
    </row>
    <row r="391" ht="15.75" customHeight="1">
      <c r="B391" s="41" t="n">
        <v>385</v>
      </c>
      <c r="C391" s="42" t="inlineStr">
        <is>
          <t xml:space="preserve">  nsamp++</t>
        </is>
      </c>
    </row>
    <row r="392" ht="15.75" customHeight="1">
      <c r="B392" s="41" t="n">
        <v>386</v>
      </c>
      <c r="C392" s="42" t="inlineStr">
        <is>
          <t xml:space="preserve">  if (start == "") start = now</t>
        </is>
      </c>
    </row>
    <row r="393" ht="15.75" customHeight="1">
      <c r="B393" s="41" t="n">
        <v>387</v>
      </c>
      <c r="C393" s="42" t="inlineStr">
        <is>
          <t xml:space="preserve">  n = 0; for (d in seen) { n++; nm[n] = d }</t>
        </is>
      </c>
    </row>
    <row r="394" ht="15.75" customHeight="1">
      <c r="B394" s="41" t="n">
        <v>388</v>
      </c>
      <c r="C394" s="42" t="inlineStr">
        <is>
          <t xml:space="preserve">  for (i = 2; i &lt;= n; i++) { d = nm[i]; j = i - 1; while (j &gt; 0 &amp;&amp; nm[j] &gt; d) { nm[j + 1] = nm[j]; j-- }; nm[j + 1] = d }</t>
        </is>
      </c>
    </row>
    <row r="395" ht="15.75" customHeight="1">
      <c r="B395" s="41" t="n">
        <v>389</v>
      </c>
      <c r="C395" s="42" t="inlineStr">
        <is>
          <t xml:space="preserve">  minit = 0</t>
        </is>
      </c>
    </row>
    <row r="396" ht="15.75" customHeight="1">
      <c r="B396" s="41" t="n">
        <v>390</v>
      </c>
      <c r="C396" s="42" t="inlineStr">
        <is>
          <t xml:space="preserve">  for (i = 1; i &lt;= n; i++) {</t>
        </is>
      </c>
    </row>
    <row r="397" ht="15.75" customHeight="1">
      <c r="B397" s="41" t="n">
        <v>391</v>
      </c>
      <c r="C397" s="42" t="inlineStr">
        <is>
          <t xml:space="preserve">    d = nm[i]; it = nz(conf[d, "idle-timeout-minutes"], 30) + 0</t>
        </is>
      </c>
    </row>
    <row r="398" ht="15.75" customHeight="1">
      <c r="B398" s="41" t="n">
        <v>392</v>
      </c>
      <c r="C398" s="42" t="inlineStr">
        <is>
          <t xml:space="preserve">    if (conf[d, "enabled"] != "false" &amp;&amp; it &gt; 0 &amp;&amp; (minit == 0 || it &lt; minit)) minit = it</t>
        </is>
      </c>
    </row>
    <row r="399" ht="15.75" customHeight="1">
      <c r="B399" s="41" t="n">
        <v>393</v>
      </c>
      <c r="C399" s="42" t="inlineStr">
        <is>
          <t xml:space="preserve">  }</t>
        </is>
      </c>
    </row>
    <row r="400" ht="15.75" customHeight="1">
      <c r="B400" s="41" t="n">
        <v>394</v>
      </c>
      <c r="C400" s="42" t="inlineStr">
        <is>
          <t xml:space="preserve">  # IdleRemover wakes every SCAN sec; one pool is checked at most once per minute -&gt; worst gap CHK</t>
        </is>
      </c>
    </row>
    <row r="401" ht="15.75" customHeight="1">
      <c r="B401" s="41" t="n">
        <v>395</v>
      </c>
      <c r="C401" s="42" t="inlineStr">
        <is>
          <t xml:space="preserve">  SCAN = minit * 30; CHK = (SCAN &gt; 60) ? SCAN : SCAN * (int(60 / SCAN) + 1)</t>
        </is>
      </c>
    </row>
    <row r="402" ht="15.75" customHeight="1">
      <c r="B402" s="41" t="n">
        <v>396</v>
      </c>
      <c r="C402" s="42" t="inlineStr">
        <is>
          <t xml:space="preserve">  for (i = 1; i &lt;= n; i++) calc(nm[i])</t>
        </is>
      </c>
    </row>
    <row r="403" ht="15.75" customHeight="1">
      <c r="B403" s="41" t="n">
        <v>397</v>
      </c>
      <c r="C403" s="42" t="inlineStr">
        <is>
          <t xml:space="preserve">  if (MODE == "csv") { if (rc != 0) perr(); for (i = 1; i &lt;= n; i++) csvrow(nm[i], 1); fflush(); return }</t>
        </is>
      </c>
    </row>
    <row r="404" ht="15.75" customHeight="1">
      <c r="B404" s="41" t="n">
        <v>398</v>
      </c>
      <c r="C404" s="42" t="inlineStr">
        <is>
          <t xml:space="preserve">  if (CSVF != "") for (i = 1; i &lt;= n; i++) csvrow(nm[i], 0)</t>
        </is>
      </c>
    </row>
    <row r="405" ht="15.75" customHeight="1">
      <c r="B405" s="41" t="n">
        <v>399</v>
      </c>
      <c r="C405" s="42" t="inlineStr">
        <is>
          <t xml:space="preserve">  if (MODE == "watch") pwatch(n, nm); else psnap(n, nm)</t>
        </is>
      </c>
    </row>
    <row r="406" ht="15.75" customHeight="1">
      <c r="B406" s="41" t="n">
        <v>400</v>
      </c>
      <c r="C406" s="42" t="inlineStr">
        <is>
          <t xml:space="preserve">  fflush()</t>
        </is>
      </c>
    </row>
    <row r="407" ht="15.75" customHeight="1">
      <c r="B407" s="41" t="n">
        <v>401</v>
      </c>
      <c r="C407" s="42" t="inlineStr">
        <is>
          <t>}</t>
        </is>
      </c>
    </row>
    <row r="408" ht="15.75" customHeight="1">
      <c r="B408" s="41" t="n">
        <v>402</v>
      </c>
      <c r="C408" s="42" t="n"/>
    </row>
    <row r="409" ht="15.75" customHeight="1">
      <c r="B409" s="41" t="n">
        <v>403</v>
      </c>
      <c r="C409" s="42" t="inlineStr">
        <is>
          <t>function perr(   i) {</t>
        </is>
      </c>
    </row>
    <row r="410" ht="15.75" customHeight="1">
      <c r="B410" s="41" t="n">
        <v>404</v>
      </c>
      <c r="C410" s="42" t="inlineStr">
        <is>
          <t xml:space="preserve">  printf " ** jboss-cli rc=%d : management call failed (server restarting / port / auth ?)\n", rc</t>
        </is>
      </c>
    </row>
    <row r="411" ht="15.75" customHeight="1">
      <c r="B411" s="41" t="n">
        <v>405</v>
      </c>
      <c r="C411" s="42" t="inlineStr">
        <is>
          <t xml:space="preserve">  for (i = 1; i &lt;= nerr &amp;&amp; i &lt;= 8; i++) print "    " errl[i]</t>
        </is>
      </c>
    </row>
    <row r="412" ht="15.75" customHeight="1">
      <c r="B412" s="41" t="n">
        <v>406</v>
      </c>
      <c r="C412" s="42" t="inlineStr">
        <is>
          <t>}</t>
        </is>
      </c>
    </row>
    <row r="413" ht="15.75" customHeight="1">
      <c r="B413" s="41" t="n">
        <v>407</v>
      </c>
      <c r="C413" s="42" t="n"/>
    </row>
    <row r="414" ht="15.75" customHeight="1">
      <c r="B414" s="41" t="n">
        <v>408</v>
      </c>
      <c r="C414" s="42" t="inlineStr">
        <is>
          <t>function csvrow(d, out,   line) {</t>
        </is>
      </c>
    </row>
    <row r="415" ht="15.75" customHeight="1">
      <c r="B415" s="41" t="n">
        <v>409</v>
      </c>
      <c r="C415" s="42" t="inlineStr">
        <is>
          <t xml:space="preserve">  if (csvh == "") {</t>
        </is>
      </c>
    </row>
    <row r="416" ht="31.5" customHeight="1">
      <c r="B416" s="41" t="n">
        <v>410</v>
      </c>
      <c r="C416" s="42" t="inlineStr">
        <is>
          <t xml:space="preserve">    csvh = "date,time,epoch,label,datasource,status,active,in_use,idle,max,available,created,destroyed,timed_out,wait_count,blocking_failures,queued,max_used,max_wait_count,max_wait_ms,avg_get_ms,max_get_ms,avg_usage_ms,idle_release_from,idle_release_by,queue_resolved_by"</t>
        </is>
      </c>
    </row>
    <row r="417" ht="15.75" customHeight="1">
      <c r="B417" s="41" t="n">
        <v>411</v>
      </c>
      <c r="C417" s="42" t="inlineStr">
        <is>
          <t xml:space="preserve">    if (out) print csvh; else if (CSVHDR == "1") { print csvh &gt;&gt; CSVF; close(CSVF) }</t>
        </is>
      </c>
    </row>
    <row r="418" ht="15.75" customHeight="1">
      <c r="B418" s="41" t="n">
        <v>412</v>
      </c>
      <c r="C418" s="42" t="inlineStr">
        <is>
          <t xml:space="preserve">  }</t>
        </is>
      </c>
    </row>
    <row r="419" ht="31.5" customHeight="1">
      <c r="B419" s="41" t="n">
        <v>413</v>
      </c>
      <c r="C419" s="42" t="inlineStr">
        <is>
          <t xml:space="preserve">  line = ymd(now) "," hms(now) "," now "," LABEL "," d "," R[d, "status"] "," R[d, "act"] "," R[d, "use"] "," R[d, "idl"] "," R[d, "mx"] "," R[d, "avl"]</t>
        </is>
      </c>
    </row>
    <row r="420" ht="31.5" customHeight="1">
      <c r="B420" s="41" t="n">
        <v>414</v>
      </c>
      <c r="C420" s="42" t="inlineStr">
        <is>
          <t xml:space="preserve">  line = line "," R[d, "cr"] "," R[d, "de"] "," R[d, "to"] "," R[d, "wc"] "," R[d, "bf"] "," ((R[d, "q"] &lt; 0) ? "" : R[d, "q"]) "," R[d, "mxu"] "," R[d, "mwc"]</t>
        </is>
      </c>
    </row>
    <row r="421" ht="31.5" customHeight="1">
      <c r="B421" s="41" t="n">
        <v>415</v>
      </c>
      <c r="C421" s="42" t="inlineStr">
        <is>
          <t xml:space="preserve">  line = line "," nz(st[d, "MaxWaitTime"], "") "," nz(st[d, "AverageGetTime"], "") "," nz(st[d, "MaxGetTime"], "") "," nz(st[d, "AverageUsageTime"], "")</t>
        </is>
      </c>
    </row>
    <row r="422" ht="31.5" customHeight="1">
      <c r="B422" s="41" t="n">
        <v>416</v>
      </c>
      <c r="C422" s="42" t="inlineStr">
        <is>
          <t xml:space="preserve">  line = line "," ((R[d, "e1"] == "" || R[d, "unk"] &gt; 0) ? "" : at(R[d, "e1"])) "," ((R[d, "e2"] == "") ? "" : at(R[d, "e2"])) "," ((R[d, "q"] &gt; 0) ? at(R[d, "qby"]) : "")</t>
        </is>
      </c>
    </row>
    <row r="423" ht="15.75" customHeight="1">
      <c r="B423" s="41" t="n">
        <v>417</v>
      </c>
      <c r="C423" s="42" t="inlineStr">
        <is>
          <t xml:space="preserve">  if (out) print line; else { print line &gt;&gt; CSVF; close(CSVF) }</t>
        </is>
      </c>
    </row>
    <row r="424" ht="15.75" customHeight="1">
      <c r="B424" s="41" t="n">
        <v>418</v>
      </c>
      <c r="C424" s="42" t="inlineStr">
        <is>
          <t>}</t>
        </is>
      </c>
    </row>
    <row r="425" ht="15.75" customHeight="1">
      <c r="B425" s="41" t="n">
        <v>419</v>
      </c>
      <c r="C425" s="42" t="n"/>
    </row>
    <row r="426" ht="15.75" customHeight="1">
      <c r="B426" s="41" t="n">
        <v>420</v>
      </c>
      <c r="C426" s="42" t="inlineStr">
        <is>
          <t>function idleline(d, head) {</t>
        </is>
      </c>
    </row>
    <row r="427" ht="15.75" customHeight="1">
      <c r="B427" s="41" t="n">
        <v>421</v>
      </c>
      <c r="C427" s="42" t="inlineStr">
        <is>
          <t xml:space="preserve">  if (R[d, "it"] == 0) { print head "idle-timeout-minutes=0 -&gt; idle connections are never closed by timeout"; return }</t>
        </is>
      </c>
    </row>
    <row r="428" ht="15.75" customHeight="1">
      <c r="B428" s="41" t="n">
        <v>422</v>
      </c>
      <c r="C428" s="42" t="inlineStr">
        <is>
          <t xml:space="preserve">  if (R[d, "ex"] == 0 || R[d, "e2"] == "") return</t>
        </is>
      </c>
    </row>
    <row r="429" ht="15.75" customHeight="1">
      <c r="B429" s="41" t="n">
        <v>423</v>
      </c>
      <c r="C429" s="42" t="inlineStr">
        <is>
          <t xml:space="preserve">  if (R[d, "unk"] == R[d, "ex"])</t>
        </is>
      </c>
    </row>
    <row r="430" ht="31.5" customHeight="1">
      <c r="B430" s="41" t="n">
        <v>424</v>
      </c>
      <c r="C430" s="42" t="inlineStr">
        <is>
          <t xml:space="preserve">    printf "%s%d idle conn above floor %d (%d-&gt;%d) -&gt; closed by &lt;= %s if not reused (idle %dm + check&lt;=%s)\n", head, R[d, "ex"], R[d, "fl"], R[d, "act"], R[d, "fl"], at(R[d, "e2"]), R[d, "it"], dur(CHK)</t>
        </is>
      </c>
    </row>
    <row r="431" ht="15.75" customHeight="1">
      <c r="B431" s="41" t="n">
        <v>425</v>
      </c>
      <c r="C431" s="42" t="inlineStr">
        <is>
          <t xml:space="preserve">  else if (R[d, "unk"] &gt; 0)</t>
        </is>
      </c>
    </row>
    <row r="432" ht="31.5" customHeight="1">
      <c r="B432" s="41" t="n">
        <v>426</v>
      </c>
      <c r="C432" s="42" t="inlineStr">
        <is>
          <t xml:space="preserve">    printf "%s%d idle conn above floor %d (%d-&gt;%d) -&gt; some any time, all by &lt;= %s (est.)\n", head, R[d, "ex"], R[d, "fl"], R[d, "act"], R[d, "fl"], at(R[d, "e2"])</t>
        </is>
      </c>
    </row>
    <row r="433" ht="15.75" customHeight="1">
      <c r="B433" s="41" t="n">
        <v>427</v>
      </c>
      <c r="C433" s="42" t="inlineStr">
        <is>
          <t xml:space="preserve">  else</t>
        </is>
      </c>
    </row>
    <row r="434" ht="31.5" customHeight="1">
      <c r="B434" s="41" t="n">
        <v>428</v>
      </c>
      <c r="C434" s="42" t="inlineStr">
        <is>
          <t xml:space="preserve">    printf "%s%d idle conn above floor %d (%d-&gt;%d) -&gt; closing ~%s .. %s (est.)\n", head, R[d, "ex"], R[d, "fl"], R[d, "act"], R[d, "fl"], at(R[d, "e1"]), at(R[d, "e2"])</t>
        </is>
      </c>
    </row>
    <row r="435" ht="15.75" customHeight="1">
      <c r="B435" s="41" t="n">
        <v>429</v>
      </c>
      <c r="C435" s="42" t="inlineStr">
        <is>
          <t>}</t>
        </is>
      </c>
    </row>
    <row r="436" ht="15.75" customHeight="1">
      <c r="B436" s="41" t="n">
        <v>430</v>
      </c>
      <c r="C436" s="42" t="n"/>
    </row>
    <row r="437" ht="15.75" customHeight="1">
      <c r="B437" s="41" t="n">
        <v>431</v>
      </c>
      <c r="C437" s="42" t="inlineStr">
        <is>
          <t>function psnap(n, nm,   i, d, w, a, na, x) {</t>
        </is>
      </c>
    </row>
    <row r="438" ht="15.75" customHeight="1">
      <c r="B438" s="41" t="n">
        <v>432</v>
      </c>
      <c r="C438" s="42" t="inlineStr">
        <is>
          <t xml:space="preserve">  print "=========================================================================================="</t>
        </is>
      </c>
    </row>
    <row r="439" ht="15.75" customHeight="1">
      <c r="B439" s="41" t="n">
        <v>433</v>
      </c>
      <c r="C439" s="42" t="inlineStr">
        <is>
          <t xml:space="preserve">  printf " JBoss connection pool snapshot : %s %s %s\n", ymd(now), hms(now), TZN</t>
        </is>
      </c>
    </row>
    <row r="440" ht="15.75" customHeight="1">
      <c r="B440" s="41" t="n">
        <v>434</v>
      </c>
      <c r="C440" s="42" t="inlineStr">
        <is>
          <t xml:space="preserve">  printf " target    : %s   (host %s%s)\n", LABEL, HOSTN, ((TASK != "") ? ", task " TASK : "")</t>
        </is>
      </c>
    </row>
    <row r="441" ht="31.5" customHeight="1">
      <c r="B441" s="41" t="n">
        <v>435</v>
      </c>
      <c r="C441" s="42" t="inlineStr">
        <is>
          <t xml:space="preserve">  printf " server    : %s %s  state=%s  controller=%s\n", nz(root["product-name"], "?"), nz(root["product-version"], ""), nz(root["server-state"], "?"), CTRL</t>
        </is>
      </c>
    </row>
    <row r="442" ht="15.75" customHeight="1">
      <c r="B442" s="41" t="n">
        <v>436</v>
      </c>
      <c r="C442" s="42" t="inlineStr">
        <is>
          <t xml:space="preserve">  if (MEM != "") printf " memory    : %s\n", MEM</t>
        </is>
      </c>
    </row>
    <row r="443" ht="15.75" customHeight="1">
      <c r="B443" s="41" t="n">
        <v>437</v>
      </c>
      <c r="C443" s="42" t="inlineStr">
        <is>
          <t xml:space="preserve">  if (rc != 0) perr()</t>
        </is>
      </c>
    </row>
    <row r="444" ht="31.5" customHeight="1">
      <c r="B444" s="41" t="n">
        <v>438</v>
      </c>
      <c r="C444" s="42" t="inlineStr">
        <is>
          <t xml:space="preserve">  if (SCAN &gt; 0) printf " idle check: IdleRemover wakes every %s (smallest idle-timeout %d min / 2), a pool is checked max once/min -&gt; gap &lt;= %s\n", dur(SCAN), SCAN / 30, dur(CHK)</t>
        </is>
      </c>
    </row>
    <row r="445" ht="31.5" customHeight="1">
      <c r="B445" s="41" t="n">
        <v>439</v>
      </c>
      <c r="C445" s="42" t="inlineStr">
        <is>
          <t xml:space="preserve">  for (w in wseen) printf " io worker : %s  busy %s / max %s  queue %s\n", w, nz(wk[w, "busy-task-thread-count"], "?"), nz(wk[w, "max-pool-size"], nz(wk[w, "task-max-threads"], "?")), nz(wk[w, "queue-size"], "?")</t>
        </is>
      </c>
    </row>
    <row r="446" ht="15.75" customHeight="1">
      <c r="B446" s="41" t="n">
        <v>440</v>
      </c>
      <c r="C446" s="42" t="inlineStr">
        <is>
          <t xml:space="preserve">  if (n == 0) print " (no datasource found)"</t>
        </is>
      </c>
    </row>
    <row r="447" ht="15.75" customHeight="1">
      <c r="B447" s="41" t="n">
        <v>441</v>
      </c>
      <c r="C447" s="42" t="inlineStr">
        <is>
          <t xml:space="preserve">  for (i = 1; i &lt;= n; i++) {</t>
        </is>
      </c>
    </row>
    <row r="448" ht="15.75" customHeight="1">
      <c r="B448" s="41" t="n">
        <v>442</v>
      </c>
      <c r="C448" s="42" t="inlineStr">
        <is>
          <t xml:space="preserve">    d = nm[i]</t>
        </is>
      </c>
    </row>
    <row r="449" ht="15.75" customHeight="1">
      <c r="B449" s="41" t="n">
        <v>443</v>
      </c>
      <c r="C449" s="42" t="inlineStr">
        <is>
          <t xml:space="preserve">    print LINE</t>
        </is>
      </c>
    </row>
    <row r="450" ht="15.75" customHeight="1">
      <c r="B450" s="41" t="n">
        <v>444</v>
      </c>
      <c r="C450" s="42" t="inlineStr">
        <is>
          <t xml:space="preserve">    printf " [%s] %s  %s   STATUS: %s\n", d, dtype[d], nz(conf[d, "jndi-name"], "?"), R[d, "status"]</t>
        </is>
      </c>
    </row>
    <row r="451" ht="47.25" customHeight="1">
      <c r="B451" s="41" t="n">
        <v>445</v>
      </c>
      <c r="C451" s="42" t="inlineStr">
        <is>
          <t xml:space="preserve">    printf "   config   : min %s / initial %s / max %s   prefill=%s strict-min=%s fair=%s\n", dv(d, "min-pool-size", 0), nz(conf[d, "initial-pool-size"], "-"), dv(d, "max-pool-size", 20), dv(d, "pool-prefill", "false"), dv(d, "pool-use-strict-min", "false"), dv(d, "pool-fair", "true")</t>
        </is>
      </c>
    </row>
    <row r="452" ht="31.5" customHeight="1">
      <c r="B452" s="41" t="n">
        <v>446</v>
      </c>
      <c r="C452" s="42" t="inlineStr">
        <is>
          <t xml:space="preserve">    printf "              blocking-timeout %sms  idle-timeout %smin  allocation-retry %s x %sms\n", dv(d, "blocking-timeout-wait-millis", 30000), dv(d, "idle-timeout-minutes", 30), dv(d, "allocation-retry", 0), dv(d, "allocation-retry-wait-millis", 0)</t>
        </is>
      </c>
    </row>
    <row r="453" ht="47.25" customHeight="1">
      <c r="B453" s="41" t="n">
        <v>447</v>
      </c>
      <c r="C453" s="42" t="inlineStr">
        <is>
          <t xml:space="preserve">    printf "              flush=%s  background-validation=%s (%sms)  validate-on-match=%s   (*=default)\n", dv(d, "flush-strategy", "FailingConnectionOnly"), dv(d, "background-validation", "false"), nz(conf[d, "background-validation-millis"], "-"), dv(d, "validate-on-match", "false")</t>
        </is>
      </c>
    </row>
    <row r="454" ht="15.75" customHeight="1">
      <c r="B454" s="41" t="n">
        <v>448</v>
      </c>
      <c r="C454" s="42" t="inlineStr">
        <is>
          <t xml:space="preserve">    if (R[d, "status"] == "DISABLED") continue</t>
        </is>
      </c>
    </row>
    <row r="455" ht="31.5" customHeight="1">
      <c r="B455" s="41" t="n">
        <v>449</v>
      </c>
      <c r="C455" s="42" t="inlineStr">
        <is>
          <t xml:space="preserve">    if (R[d, "son"] != "true") { print "   stats    : DISABLED -&gt; counters are not collected.  enable with:  jbpool enable-stats"; continue }</t>
        </is>
      </c>
    </row>
    <row r="456" ht="31.5" customHeight="1">
      <c r="B456" s="41" t="n">
        <v>450</v>
      </c>
      <c r="C456" s="42" t="inlineStr">
        <is>
          <t xml:space="preserve">    printf "   now      : in-use %d + idle %d = active %d / max %d   (use %d%%, free permits %d)\n", R[d, "use"], R[d, "idl"], R[d, "act"], R[d, "mx"], R[d, "pct"], R[d, "avl"]</t>
        </is>
      </c>
    </row>
    <row r="457" ht="31.5" customHeight="1">
      <c r="B457" s="41" t="n">
        <v>451</v>
      </c>
      <c r="C457" s="42" t="inlineStr">
        <is>
          <t xml:space="preserve">    printf "   peak     : max-used %d   max-waiting %d   max-wait %s   max-get %s\n", R[d, "mxu"], R[d, "mwc"], ms(st[d, "MaxWaitTime"]), ms(st[d, "MaxGetTime"])</t>
        </is>
      </c>
    </row>
    <row r="458" ht="31.5" customHeight="1">
      <c r="B458" s="41" t="n">
        <v>452</v>
      </c>
      <c r="C458" s="42" t="inlineStr">
        <is>
          <t xml:space="preserve">    printf "   total    : created %d  destroyed %d (idle-timeout %d, other %d)  waited %d  timeouts %d\n", R[d, "cr"], R[d, "de"], R[d, "to"], R[d, "de"] - R[d, "to"], R[d, "wc"], R[d, "bf"]</t>
        </is>
      </c>
    </row>
    <row r="459" ht="31.5" customHeight="1">
      <c r="B459" s="41" t="n">
        <v>453</v>
      </c>
      <c r="C459" s="42" t="inlineStr">
        <is>
          <t xml:space="preserve">    printf "   timing   : avg-get %s   avg-create %s   avg-usage %s   max-usage %s\n", ms(st[d, "AverageGetTime"]), ms(st[d, "AverageCreationTime"]), ms(st[d, "AverageUsageTime"]), ms(st[d, "MaxUsageTime"])</t>
        </is>
      </c>
    </row>
    <row r="460" ht="15.75" customHeight="1">
      <c r="B460" s="41" t="n">
        <v>454</v>
      </c>
      <c r="C460" s="42" t="inlineStr">
        <is>
          <t xml:space="preserve">    if (R[d, "q"] &lt; 0) print "   queue    : (dump-queued-threads-in-pool not available)"</t>
        </is>
      </c>
    </row>
    <row r="461" ht="15.75" customHeight="1">
      <c r="B461" s="41" t="n">
        <v>455</v>
      </c>
      <c r="C461" s="42" t="inlineStr">
        <is>
          <t xml:space="preserve">    else if (R[d, "q"] == 0) print "   queue    : 0 thread waiting for a connection"</t>
        </is>
      </c>
    </row>
    <row r="462" ht="15.75" customHeight="1">
      <c r="B462" s="41" t="n">
        <v>456</v>
      </c>
      <c r="C462" s="42" t="inlineStr">
        <is>
          <t xml:space="preserve">    else {</t>
        </is>
      </c>
    </row>
    <row r="463" ht="15.75" customHeight="1">
      <c r="B463" s="41" t="n">
        <v>457</v>
      </c>
      <c r="C463" s="42" t="inlineStr">
        <is>
          <t xml:space="preserve">      printf "   queue    : %d thread(s) WAITING for a connection (pool overflow)\n", R[d, "q"]</t>
        </is>
      </c>
    </row>
    <row r="464" ht="15.75" customHeight="1">
      <c r="B464" s="41" t="n">
        <v>458</v>
      </c>
      <c r="C464" s="42" t="inlineStr">
        <is>
          <t xml:space="preserve">      printf "              %s\n", R[d, "qtxt"]</t>
        </is>
      </c>
    </row>
    <row r="465" ht="31.5" customHeight="1">
      <c r="B465" s="41" t="n">
        <v>459</v>
      </c>
      <c r="C465" s="42" t="inlineStr">
        <is>
          <t xml:space="preserve">      printf "   forecast : waiting threads get a connection or fail with IJ000655 by &lt;= %s (wait limit %s)\n", at(R[d, "qby"]), dur(R[d, "wl"] / 1000)</t>
        </is>
      </c>
    </row>
    <row r="466" ht="15.75" customHeight="1">
      <c r="B466" s="41" t="n">
        <v>460</v>
      </c>
      <c r="C466" s="42" t="inlineStr">
        <is>
          <t xml:space="preserve">    }</t>
        </is>
      </c>
    </row>
    <row r="467" ht="15.75" customHeight="1">
      <c r="B467" s="41" t="n">
        <v>461</v>
      </c>
      <c r="C467" s="42" t="inlineStr">
        <is>
          <t xml:space="preserve">    idleline(d, "   forecast : ")</t>
        </is>
      </c>
    </row>
    <row r="468" ht="15.75" customHeight="1">
      <c r="B468" s="41" t="n">
        <v>462</v>
      </c>
      <c r="C468" s="42" t="inlineStr">
        <is>
          <t xml:space="preserve">    na = 0</t>
        </is>
      </c>
    </row>
    <row r="469" ht="31.5" customHeight="1">
      <c r="B469" s="41" t="n">
        <v>463</v>
      </c>
      <c r="C469" s="42" t="inlineStr">
        <is>
          <t xml:space="preserve">    if (R[d, "son"] == "true" &amp;&amp; R[d, "mx"] &gt; 0 &amp;&amp; R[d, "mxu"] &gt;= R[d, "mx"]) a[++na] = "pool reached max-pool-size (MaxUsedCount=" R[d, "mxu"] "). guide: max-pool-size &gt;= acceptable MaxUsedCount x 1.15, check slow SQL / leaks"</t>
        </is>
      </c>
    </row>
    <row r="470" ht="15.75" customHeight="1">
      <c r="B470" s="41" t="n">
        <v>464</v>
      </c>
      <c r="C470" s="42" t="inlineStr">
        <is>
          <t xml:space="preserve">    if (R[d, "bf"] &gt; 0) a[++na] = R[d, "bf"] " request(s) timed out waiting (look for IJ000453 / IJ000655 in the log)"</t>
        </is>
      </c>
    </row>
    <row r="471" ht="15.75" customHeight="1">
      <c r="B471" s="41" t="n">
        <v>465</v>
      </c>
      <c r="C471" s="42" t="inlineStr">
        <is>
          <t xml:space="preserve">    if (R[d, "q"] &gt; 0) a[++na] = "requests are queuing now -&gt; jbpool threads  (shows which code is waiting)"</t>
        </is>
      </c>
    </row>
    <row r="472" ht="15.75" customHeight="1">
      <c r="B472" s="41" t="n">
        <v>466</v>
      </c>
      <c r="C472" s="42" t="inlineStr">
        <is>
          <t xml:space="preserve">    x = nz(st[d, "MaxUsageTime"], 0) + 0</t>
        </is>
      </c>
    </row>
    <row r="473" ht="15.75" customHeight="1">
      <c r="B473" s="41" t="n">
        <v>467</v>
      </c>
      <c r="C473" s="42" t="inlineStr">
        <is>
          <t xml:space="preserve">    if (x &gt;= 60000) a[++na] = "a connection was held for " dur(x / 1000) " (MaxUsageTime) -&gt; long transaction or connection leak ?"</t>
        </is>
      </c>
    </row>
    <row r="474" ht="15.75" customHeight="1">
      <c r="B474" s="41" t="n">
        <v>468</v>
      </c>
      <c r="C474" s="42" t="inlineStr">
        <is>
          <t xml:space="preserve">    if (R[d, "neg"] == 1) a[++na] = "ActiveCount looked inconsistent (counter reset / flush); shown as in-use + idle"</t>
        </is>
      </c>
    </row>
    <row r="475" ht="31.5" customHeight="1">
      <c r="B475" s="41" t="n">
        <v>469</v>
      </c>
      <c r="C475" s="42" t="inlineStr">
        <is>
          <t xml:space="preserve">    if (R[d, "mn"] &gt; 0 &amp;&amp; R[d, "keepmin"] == 0) a[++na] = "min-pool-size " R[d, "mn"] " is NOT kept after idle-timeout (pool-prefill / pool-use-strict-min are false)"</t>
        </is>
      </c>
    </row>
    <row r="476" ht="15.75" customHeight="1">
      <c r="B476" s="41" t="n">
        <v>470</v>
      </c>
      <c r="C476" s="42" t="inlineStr">
        <is>
          <t xml:space="preserve">    for (x = 1; x &lt;= na; x++) printf "   %s : %s\n", ((x == 1) ? "advice  " : "        "), a[x]</t>
        </is>
      </c>
    </row>
    <row r="477" ht="15.75" customHeight="1">
      <c r="B477" s="41" t="n">
        <v>471</v>
      </c>
      <c r="C477" s="42" t="inlineStr">
        <is>
          <t xml:space="preserve">  }</t>
        </is>
      </c>
    </row>
    <row r="478" ht="15.75" customHeight="1">
      <c r="B478" s="41" t="n">
        <v>472</v>
      </c>
      <c r="C478" s="42" t="inlineStr">
        <is>
          <t xml:space="preserve">  print "=========================================================================================="</t>
        </is>
      </c>
    </row>
    <row r="479" ht="15.75" customHeight="1">
      <c r="B479" s="41" t="n">
        <v>473</v>
      </c>
      <c r="C479" s="42" t="inlineStr">
        <is>
          <t>}</t>
        </is>
      </c>
    </row>
    <row r="480" ht="15.75" customHeight="1">
      <c r="B480" s="41" t="n">
        <v>474</v>
      </c>
      <c r="C480" s="42" t="n"/>
    </row>
    <row r="481" ht="15.75" customHeight="1">
      <c r="B481" s="41" t="n">
        <v>475</v>
      </c>
      <c r="C481" s="42" t="inlineStr">
        <is>
          <t>function pwatch(n, nm,   i, d, ev) {</t>
        </is>
      </c>
    </row>
    <row r="482" ht="31.5" customHeight="1">
      <c r="B482" s="41" t="n">
        <v>476</v>
      </c>
      <c r="C482" s="42" t="inlineStr">
        <is>
          <t xml:space="preserve">  printf "--- %s %s %s  #%d  %s  (%s %s, %s)  idle-check&lt;=%s ---\n", ymd(now), hms(now), TZN, samp, LABEL, nz(root["product-name"], "?"), nz(root["product-version"], ""), nz(root["server-state"], "?"), ((SCAN &gt; 0) ? dur(CHK) : "-")</t>
        </is>
      </c>
    </row>
    <row r="483" ht="15.75" customHeight="1">
      <c r="B483" s="41" t="n">
        <v>477</v>
      </c>
      <c r="C483" s="42" t="inlineStr">
        <is>
          <t xml:space="preserve">  if (rc != 0) perr()</t>
        </is>
      </c>
    </row>
    <row r="484" ht="15.75" customHeight="1">
      <c r="B484" s="41" t="n">
        <v>478</v>
      </c>
      <c r="C484" s="42" t="inlineStr">
        <is>
          <t xml:space="preserve">  if (n == 0) { print "  (no datasource)"; return }</t>
        </is>
      </c>
    </row>
    <row r="485" ht="31.5" customHeight="1">
      <c r="B485" s="41" t="n">
        <v>479</v>
      </c>
      <c r="C485" s="42" t="inlineStr">
        <is>
          <t xml:space="preserve">  printf "%-20s %-14s %7s %5s %4s %4s %5s %5s %5s %5s %5s %5s %5s %7s\n", "DATASOURCE", "STATUS", "USE/MAX", "USE%", "ACT", "IDLE", "NEW", "DEL", "T/O", "WAIT", "TMOUT", "QUEUE", "MAXU", "AVGGET"</t>
        </is>
      </c>
    </row>
    <row r="486" ht="15.75" customHeight="1">
      <c r="B486" s="41" t="n">
        <v>480</v>
      </c>
      <c r="C486" s="42" t="inlineStr">
        <is>
          <t xml:space="preserve">  for (i = 1; i &lt;= n; i++) {</t>
        </is>
      </c>
    </row>
    <row r="487" ht="15.75" customHeight="1">
      <c r="B487" s="41" t="n">
        <v>481</v>
      </c>
      <c r="C487" s="42" t="inlineStr">
        <is>
          <t xml:space="preserve">    d = nm[i]</t>
        </is>
      </c>
    </row>
    <row r="488" ht="47.25" customHeight="1">
      <c r="B488" s="41" t="n">
        <v>482</v>
      </c>
      <c r="C488" s="42" t="inlineStr">
        <is>
          <t xml:space="preserve">    printf "%-20s %-14s %7s %4d%% %4d %4d %5s %5s %5s %5s %5s %5s %5d %7s\n", substr(d, 1, 20), R[d, "status"], R[d, "use"] "/" R[d, "mx"], R[d, "pct"], R[d, "act"], R[d, "idl"], sd(d, "dcr", "+"), sd(d, "dde", "-"), sd(d, "dto", "-"), sd(d, "dwc", "+"), sd(d, "dbf", "+"), ((R[d, "q"] &lt; 0) ? "n/a" : R[d, "q"]), R[d, "mxu"], ms(st[d, "AverageGetTime"])</t>
        </is>
      </c>
    </row>
    <row r="489" ht="15.75" customHeight="1">
      <c r="B489" s="41" t="n">
        <v>483</v>
      </c>
      <c r="C489" s="42" t="inlineStr">
        <is>
          <t xml:space="preserve">    if (R[d, "q"] &gt; 0) printf "   queue  : %d waiting -&gt; all resolved by &lt;= %s : %s\n", R[d, "q"], at(R[d, "qby"]), R[d, "qtxt"]</t>
        </is>
      </c>
    </row>
    <row r="490" ht="15.75" customHeight="1">
      <c r="B490" s="41" t="n">
        <v>484</v>
      </c>
      <c r="C490" s="42" t="inlineStr">
        <is>
          <t xml:space="preserve">    idleline(d, "   idle   : ")</t>
        </is>
      </c>
    </row>
    <row r="491" ht="15.75" customHeight="1">
      <c r="B491" s="41" t="n">
        <v>485</v>
      </c>
      <c r="C491" s="42" t="inlineStr">
        <is>
          <t xml:space="preserve">    if (R[d, "has"] == 1) {</t>
        </is>
      </c>
    </row>
    <row r="492" ht="15.75" customHeight="1">
      <c r="B492" s="41" t="n">
        <v>486</v>
      </c>
      <c r="C492" s="42" t="inlineStr">
        <is>
          <t xml:space="preserve">      ev = ""</t>
        </is>
      </c>
    </row>
    <row r="493" ht="15.75" customHeight="1">
      <c r="B493" s="41" t="n">
        <v>487</v>
      </c>
      <c r="C493" s="42" t="inlineStr">
        <is>
          <t xml:space="preserve">      if (R[d, "dcr"] &gt; 0) ev = ev " | pool grew " R[d, "pact"] "-&gt;" R[d, "act"] " (+" R[d, "dcr"] " created)"</t>
        </is>
      </c>
    </row>
    <row r="494" ht="15.75" customHeight="1">
      <c r="B494" s="41" t="n">
        <v>488</v>
      </c>
      <c r="C494" s="42" t="inlineStr">
        <is>
          <t xml:space="preserve">      if (R[d, "dto"] &gt; 0) ev = ev " | " R[d, "dto"] " closed by idle-timeout"</t>
        </is>
      </c>
    </row>
    <row r="495" ht="15.75" customHeight="1">
      <c r="B495" s="41" t="n">
        <v>489</v>
      </c>
      <c r="C495" s="42" t="inlineStr">
        <is>
          <t xml:space="preserve">      if (R[d, "dde"] - R[d, "dto"] &gt; 0) ev = ev " | " (R[d, "dde"] - R[d, "dto"]) " destroyed (validation/flush/error)"</t>
        </is>
      </c>
    </row>
    <row r="496" ht="15.75" customHeight="1">
      <c r="B496" s="41" t="n">
        <v>490</v>
      </c>
      <c r="C496" s="42" t="inlineStr">
        <is>
          <t xml:space="preserve">      if (R[d, "dwc"] &gt; 0) ev = ev " | " R[d, "dwc"] " request(s) had to wait"</t>
        </is>
      </c>
    </row>
    <row r="497" ht="15.75" customHeight="1">
      <c r="B497" s="41" t="n">
        <v>491</v>
      </c>
      <c r="C497" s="42" t="inlineStr">
        <is>
          <t xml:space="preserve">      if (R[d, "dbf"] &gt; 0) ev = ev " | " R[d, "dbf"] " TIMEOUT error(s) IJ000655"</t>
        </is>
      </c>
    </row>
    <row r="498" ht="15.75" customHeight="1">
      <c r="B498" s="41" t="n">
        <v>492</v>
      </c>
      <c r="C498" s="42" t="inlineStr">
        <is>
          <t xml:space="preserve">      if (ev != "") print "   event " substr(ev, 2)</t>
        </is>
      </c>
    </row>
    <row r="499" ht="15.75" customHeight="1">
      <c r="B499" s="41" t="n">
        <v>493</v>
      </c>
      <c r="C499" s="42" t="inlineStr">
        <is>
          <t xml:space="preserve">    }</t>
        </is>
      </c>
    </row>
    <row r="500" ht="15.75" customHeight="1">
      <c r="B500" s="41" t="n">
        <v>494</v>
      </c>
      <c r="C500" s="42" t="inlineStr">
        <is>
          <t xml:space="preserve">  }</t>
        </is>
      </c>
    </row>
    <row r="501" ht="15.75" customHeight="1">
      <c r="B501" s="41" t="n">
        <v>495</v>
      </c>
      <c r="C501" s="42" t="inlineStr">
        <is>
          <t>}</t>
        </is>
      </c>
    </row>
    <row r="502" ht="15.75" customHeight="1">
      <c r="B502" s="41" t="n">
        <v>496</v>
      </c>
      <c r="C502" s="42" t="inlineStr">
        <is>
          <t>'</t>
        </is>
      </c>
    </row>
    <row r="503" ht="15.75" customHeight="1">
      <c r="B503" s="41" t="n">
        <v>497</v>
      </c>
      <c r="C503" s="42" t="n"/>
    </row>
    <row r="504" ht="15.75" customHeight="1">
      <c r="B504" s="41" t="n">
        <v>498</v>
      </c>
      <c r="C504" s="43" t="inlineStr">
        <is>
          <t># ---------------------------------------------------------------- PART 3/3 : main + run</t>
        </is>
      </c>
    </row>
    <row r="505" ht="15.75" customHeight="1">
      <c r="B505" s="41" t="n">
        <v>499</v>
      </c>
      <c r="C505" s="42" t="inlineStr">
        <is>
          <t>jbpool() {</t>
        </is>
      </c>
    </row>
    <row r="506" ht="15.75" customHeight="1">
      <c r="B506" s="41" t="n">
        <v>500</v>
      </c>
      <c r="C506" s="42" t="inlineStr">
        <is>
          <t xml:space="preserve">  JBP_MODE=${1:-snapshot}</t>
        </is>
      </c>
    </row>
    <row r="507" ht="15.75" customHeight="1">
      <c r="B507" s="41" t="n">
        <v>501</v>
      </c>
      <c r="C507" s="42" t="inlineStr">
        <is>
          <t xml:space="preserve">  case "$JBP_MODE" in help|-h|--help) jbp_help; return 0 ;; esac</t>
        </is>
      </c>
    </row>
    <row r="508" ht="15.75" customHeight="1">
      <c r="B508" s="41" t="n">
        <v>502</v>
      </c>
      <c r="C508" s="42" t="inlineStr">
        <is>
          <t xml:space="preserve">  case "$JBP_MODE" in</t>
        </is>
      </c>
    </row>
    <row r="509" ht="15.75" customHeight="1">
      <c r="B509" s="41" t="n">
        <v>503</v>
      </c>
      <c r="C509" s="42" t="inlineStr">
        <is>
          <t xml:space="preserve">    snapshot|snap|s) JBP_MODE=snapshot; JBP_INT=0; JBP_CNT=1 ;;</t>
        </is>
      </c>
    </row>
    <row r="510" ht="15.75" customHeight="1">
      <c r="B510" s="41" t="n">
        <v>504</v>
      </c>
      <c r="C510" s="42" t="inlineStr">
        <is>
          <t xml:space="preserve">    watch|w)         JBP_MODE=watch; JBP_INT=${2:-10}; JBP_CNT=${3:-0} ;;</t>
        </is>
      </c>
    </row>
    <row r="511" ht="15.75" customHeight="1">
      <c r="B511" s="41" t="n">
        <v>505</v>
      </c>
      <c r="C511" s="42" t="inlineStr">
        <is>
          <t xml:space="preserve">    csv)             JBP_INT=${2:-10}; JBP_CNT=${3:-0} ;;</t>
        </is>
      </c>
    </row>
    <row r="512" ht="15.75" customHeight="1">
      <c r="B512" s="41" t="n">
        <v>506</v>
      </c>
      <c r="C512" s="42" t="inlineStr">
        <is>
          <t xml:space="preserve">    threads|t|enable-stats|disable-stats|raw) ;;</t>
        </is>
      </c>
    </row>
    <row r="513" ht="15.75" customHeight="1">
      <c r="B513" s="41" t="n">
        <v>507</v>
      </c>
      <c r="C513" s="42" t="inlineStr">
        <is>
          <t xml:space="preserve">    *) echo "[jbpool] unknown mode: $JBP_MODE" &gt;&amp;2; jbp_help; return 1 ;;</t>
        </is>
      </c>
    </row>
    <row r="514" ht="15.75" customHeight="1">
      <c r="B514" s="41" t="n">
        <v>508</v>
      </c>
      <c r="C514" s="42" t="inlineStr">
        <is>
          <t xml:space="preserve">  esac</t>
        </is>
      </c>
    </row>
    <row r="515" ht="15.75" customHeight="1">
      <c r="B515" s="41" t="n">
        <v>509</v>
      </c>
      <c r="C515" s="42" t="inlineStr">
        <is>
          <t xml:space="preserve">  jbp_setup || return 1</t>
        </is>
      </c>
    </row>
    <row r="516" ht="15.75" customHeight="1">
      <c r="B516" s="41" t="n">
        <v>510</v>
      </c>
      <c r="C516" s="42" t="inlineStr">
        <is>
          <t xml:space="preserve">  echo "[jbpool] target=$JBP_LBL  controller=$JBP_CTRL  cli=$JBP_CLI  server-pid=${JBP_PID:-?}" &gt;&amp;2</t>
        </is>
      </c>
    </row>
    <row r="517" ht="15.75" customHeight="1">
      <c r="B517" s="41" t="n">
        <v>511</v>
      </c>
      <c r="C517" s="42" t="inlineStr">
        <is>
          <t xml:space="preserve">  if [ "$JBP_NPROC" -gt 1 ]; then</t>
        </is>
      </c>
    </row>
    <row r="518" ht="15.75" customHeight="1">
      <c r="B518" s="41" t="n">
        <v>512</v>
      </c>
      <c r="C518" s="42" t="inlineStr">
        <is>
          <t xml:space="preserve">    echo "[jbpool] WARNING: $JBP_NPROC JBoss servers are visible (shared pid namespace?). check MGMT_PORT." &gt;&amp;2</t>
        </is>
      </c>
    </row>
    <row r="519" ht="15.75" customHeight="1">
      <c r="B519" s="41" t="n">
        <v>513</v>
      </c>
      <c r="C519" s="42" t="inlineStr">
        <is>
          <t xml:space="preserve">  fi</t>
        </is>
      </c>
    </row>
    <row r="520" ht="15.75" customHeight="1">
      <c r="B520" s="41" t="n">
        <v>514</v>
      </c>
      <c r="C520" s="42" t="inlineStr">
        <is>
          <t xml:space="preserve">  jbp_names || return 1</t>
        </is>
      </c>
    </row>
    <row r="521" ht="15.75" customHeight="1">
      <c r="B521" s="41" t="n">
        <v>515</v>
      </c>
      <c r="C521" s="42" t="inlineStr">
        <is>
          <t xml:space="preserve">  [ -z "$JBP_NAMES" ] &amp;&amp; echo "[jbpool] no datasource is defined in this server" &gt;&amp;2</t>
        </is>
      </c>
    </row>
    <row r="522" ht="15.75" customHeight="1">
      <c r="B522" s="41" t="n">
        <v>516</v>
      </c>
      <c r="C522" s="42" t="inlineStr">
        <is>
          <t xml:space="preserve">  case "$JBP_MODE" in</t>
        </is>
      </c>
    </row>
    <row r="523" ht="15.75" customHeight="1">
      <c r="B523" s="41" t="n">
        <v>517</v>
      </c>
      <c r="C523" s="42" t="inlineStr">
        <is>
          <t xml:space="preserve">    threads|t)     jbp_threads; return 0 ;;</t>
        </is>
      </c>
    </row>
    <row r="524" ht="15.75" customHeight="1">
      <c r="B524" s="41" t="n">
        <v>518</v>
      </c>
      <c r="C524" s="42" t="inlineStr">
        <is>
          <t xml:space="preserve">    enable-stats)  jbp_stats true; return 0 ;;</t>
        </is>
      </c>
    </row>
    <row r="525" ht="15.75" customHeight="1">
      <c r="B525" s="41" t="n">
        <v>519</v>
      </c>
      <c r="C525" s="42" t="inlineStr">
        <is>
          <t xml:space="preserve">    disable-stats) jbp_stats false; return 0 ;;</t>
        </is>
      </c>
    </row>
    <row r="526" ht="15.75" customHeight="1">
      <c r="B526" s="41" t="n">
        <v>520</v>
      </c>
      <c r="C526" s="42" t="inlineStr">
        <is>
          <t xml:space="preserve">    raw)           jbp_mkfile; jbp_cli "$JBP_F"; rm -f "$JBP_F" "$JBP_E"; return 0 ;;</t>
        </is>
      </c>
    </row>
    <row r="527" ht="15.75" customHeight="1">
      <c r="B527" s="41" t="n">
        <v>521</v>
      </c>
      <c r="C527" s="42" t="inlineStr">
        <is>
          <t xml:space="preserve">  esac</t>
        </is>
      </c>
    </row>
    <row r="528" ht="15.75" customHeight="1">
      <c r="B528" s="41" t="n">
        <v>522</v>
      </c>
      <c r="C528" s="42" t="inlineStr">
        <is>
          <t xml:space="preserve">  JBP_hdr=0</t>
        </is>
      </c>
    </row>
    <row r="529" ht="15.75" customHeight="1">
      <c r="B529" s="41" t="n">
        <v>523</v>
      </c>
      <c r="C529" s="42" t="inlineStr">
        <is>
          <t xml:space="preserve">  if [ -n "${JBP_CSV:-}" ] &amp;&amp; [ ! -s "$JBP_CSV" ]; then JBP_hdr=1; fi</t>
        </is>
      </c>
    </row>
    <row r="530" ht="15.75" customHeight="1">
      <c r="B530" s="41" t="n">
        <v>524</v>
      </c>
      <c r="C530" s="42" t="inlineStr">
        <is>
          <t xml:space="preserve">  jbp_loop | awk -v MODE="$JBP_MODE" -v TZOFF="$(date +%z 2&gt;/dev/null)" -v TZN="$(date +%Z 2&gt;/dev/null)" \</t>
        </is>
      </c>
    </row>
    <row r="531" ht="15.75" customHeight="1">
      <c r="B531" s="41" t="n">
        <v>525</v>
      </c>
      <c r="C531" s="42" t="inlineStr">
        <is>
          <t xml:space="preserve">    -v WARN="${JBP_WARN:-80}" -v LABEL="$JBP_LBL" -v HOSTN="$JBP_HOSTN" -v TASK="$JBP_TASK" \</t>
        </is>
      </c>
    </row>
    <row r="532" ht="15.75" customHeight="1">
      <c r="B532" s="41" t="n">
        <v>526</v>
      </c>
      <c r="C532" s="42" t="inlineStr">
        <is>
          <t xml:space="preserve">    -v CTRL="$JBP_CTRL" -v MEM="$JBP_MEM" -v CSVF="${JBP_CSV:-}" -v CSVHDR="$JBP_hdr" "$JBP_AWK"</t>
        </is>
      </c>
    </row>
    <row r="533" ht="15.75" customHeight="1">
      <c r="B533" s="41" t="n">
        <v>527</v>
      </c>
      <c r="C533" s="42" t="inlineStr">
        <is>
          <t>}</t>
        </is>
      </c>
    </row>
    <row r="534" ht="15.75" customHeight="1">
      <c r="B534" s="41" t="n">
        <v>528</v>
      </c>
      <c r="C534" s="42" t="n"/>
    </row>
    <row r="535" ht="15.75" customHeight="1">
      <c r="B535" s="41" t="n">
        <v>529</v>
      </c>
      <c r="C535" s="42" t="inlineStr">
        <is>
          <t>if [ $# -eq 0 ]; then jbpool snapshot; else jbpool "$@"; fi</t>
        </is>
      </c>
    </row>
  </sheetData>
  <mergeCells count="3">
    <mergeCell ref="B4:C4"/>
    <mergeCell ref="B1:C1"/>
    <mergeCell ref="B2:C2"/>
  </mergeCells>
  <pageMargins left="0.4" right="0.4" top="0.5" bottom="0.5" header="0.5" footer="0.5"/>
  <pageSetup orientation="landscape" paperSize="9" fitToHeight="0" fitToWidth="1"/>
  <headerFooter>
    <oddHeader/>
    <oddFooter>&amp;C&amp;"Meiryo UI"&amp;P / &amp;N&amp;R&amp;"Meiryo UI"&amp;A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Code</dc:creator>
  <dc:title xmlns:dc="http://purl.org/dc/elements/1.1/">JBoss EAP コネクションプール確認コマンド「jbpool」解説書</dc:title>
  <dcterms:created xmlns:dcterms="http://purl.org/dc/terms/" xmlns:xsi="http://www.w3.org/2001/XMLSchema-instance" xsi:type="dcterms:W3CDTF">2026-10-16T22:13:04Z</dcterms:created>
  <dcterms:modified xmlns:dcterms="http://purl.org/dc/terms/" xmlns:xsi="http://www.w3.org/2001/XMLSchema-instance" xsi:type="dcterms:W3CDTF">2026-10-16T22:13:05Z</dcterms:modified>
</cp:coreProperties>
</file>